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Shared drives\Business Excellence Common Folder\1.Six Sigma Tracking Folder\1. SS Black Belt\2.Project Tracking\"/>
    </mc:Choice>
  </mc:AlternateContent>
  <xr:revisionPtr revIDLastSave="0" documentId="13_ncr:1_{5D088F5E-A2C5-4EB7-B5EF-6E17E86D7C83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Dashboard" sheetId="1" r:id="rId1"/>
    <sheet name="Project Tracking" sheetId="2" r:id="rId2"/>
    <sheet name="Sheet2" sheetId="4" state="hidden" r:id="rId3"/>
    <sheet name="Maintenance" sheetId="11" state="hidden" r:id="rId4"/>
    <sheet name="DCP-Conpilation " sheetId="5" state="hidden" r:id="rId5"/>
    <sheet name="Sheet3" sheetId="10" state="hidden" r:id="rId6"/>
    <sheet name="DCP-Collection" sheetId="6" state="hidden" r:id="rId7"/>
    <sheet name="Quality-DCP" sheetId="7" state="hidden" r:id="rId8"/>
    <sheet name="DFSS" sheetId="8" state="hidden" r:id="rId9"/>
    <sheet name="MGPP" sheetId="12" state="hidden" r:id="rId10"/>
    <sheet name="MGAP" sheetId="9" state="hidden" r:id="rId11"/>
    <sheet name="Sheet1" sheetId="3" state="hidden" r:id="rId12"/>
  </sheets>
  <definedNames>
    <definedName name="_xlnm._FilterDatabase" localSheetId="1" hidden="1">'Project Tracking'!$A$5:$Y$84</definedName>
    <definedName name="_xlnm.Print_Area" localSheetId="1">'Project Tracking'!$A$1:$Y$73</definedName>
    <definedName name="_xlnm.Print_Titles" localSheetId="1">'Project Tracking'!$4:$5</definedName>
    <definedName name="_xlnm.Print_Titles" localSheetId="11">Sheet1!$4:$5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V74" i="2" l="1"/>
  <c r="N34" i="9" l="1"/>
  <c r="L34" i="9"/>
  <c r="E34" i="9"/>
  <c r="F34" i="9"/>
  <c r="H34" i="9"/>
  <c r="G34" i="9"/>
  <c r="J34" i="9"/>
  <c r="I34" i="9"/>
  <c r="N6" i="6"/>
  <c r="V71" i="2" l="1"/>
  <c r="V7" i="2"/>
  <c r="W7" i="2" s="1"/>
  <c r="X7" i="2" l="1"/>
  <c r="V20" i="2"/>
  <c r="W20" i="2" s="1"/>
  <c r="X20" i="2" s="1"/>
  <c r="V19" i="2"/>
  <c r="W19" i="2" s="1"/>
  <c r="X19" i="2" s="1"/>
  <c r="V18" i="2"/>
  <c r="W18" i="2" s="1"/>
  <c r="X18" i="2" s="1"/>
  <c r="V30" i="2"/>
  <c r="W30" i="2" s="1"/>
  <c r="X30" i="2" s="1"/>
  <c r="I12" i="1"/>
  <c r="I13" i="1"/>
  <c r="I14" i="1"/>
  <c r="I15" i="1"/>
  <c r="I16" i="1"/>
  <c r="I17" i="1"/>
  <c r="V35" i="2"/>
  <c r="W35" i="2" s="1"/>
  <c r="X35" i="2" s="1"/>
  <c r="V47" i="2"/>
  <c r="W47" i="2" s="1"/>
  <c r="X47" i="2" s="1"/>
  <c r="V32" i="2"/>
  <c r="W32" i="2" s="1"/>
  <c r="X32" i="2" s="1"/>
  <c r="V78" i="2"/>
  <c r="W78" i="2" s="1"/>
  <c r="X78" i="2" s="1"/>
  <c r="V55" i="2"/>
  <c r="W55" i="2" s="1"/>
  <c r="X55" i="2" s="1"/>
  <c r="V11" i="2"/>
  <c r="W11" i="2" s="1"/>
  <c r="X11" i="2" s="1"/>
  <c r="V68" i="2"/>
  <c r="W68" i="2" s="1"/>
  <c r="X68" i="2" s="1"/>
  <c r="V76" i="2"/>
  <c r="W76" i="2" s="1"/>
  <c r="X76" i="2" s="1"/>
  <c r="V77" i="2"/>
  <c r="W77" i="2" s="1"/>
  <c r="X77" i="2" s="1"/>
  <c r="V10" i="2"/>
  <c r="W10" i="2" s="1"/>
  <c r="X10" i="2" s="1"/>
  <c r="V72" i="2"/>
  <c r="W72" i="2" s="1"/>
  <c r="X72" i="2" s="1"/>
  <c r="V17" i="2"/>
  <c r="W17" i="2" s="1"/>
  <c r="X17" i="2" s="1"/>
  <c r="V42" i="2"/>
  <c r="W42" i="2" s="1"/>
  <c r="X42" i="2" s="1"/>
  <c r="V73" i="2"/>
  <c r="W73" i="2" s="1"/>
  <c r="X73" i="2" s="1"/>
  <c r="V16" i="2"/>
  <c r="W16" i="2" s="1"/>
  <c r="X16" i="2" s="1"/>
  <c r="V12" i="2"/>
  <c r="W12" i="2" s="1"/>
  <c r="X12" i="2" s="1"/>
  <c r="V83" i="2"/>
  <c r="W83" i="2" s="1"/>
  <c r="X83" i="2" s="1"/>
  <c r="V6" i="2"/>
  <c r="W6" i="2" s="1"/>
  <c r="X6" i="2" s="1"/>
  <c r="V44" i="2"/>
  <c r="W44" i="2" s="1"/>
  <c r="X44" i="2" s="1"/>
  <c r="V23" i="2"/>
  <c r="W23" i="2" s="1"/>
  <c r="X23" i="2" s="1"/>
  <c r="V37" i="2"/>
  <c r="W37" i="2" s="1"/>
  <c r="X37" i="2" s="1"/>
  <c r="V21" i="2"/>
  <c r="W21" i="2" s="1"/>
  <c r="X21" i="2" s="1"/>
  <c r="V13" i="2"/>
  <c r="W13" i="2" s="1"/>
  <c r="X13" i="2" s="1"/>
  <c r="V31" i="2"/>
  <c r="W31" i="2" s="1"/>
  <c r="X31" i="2" s="1"/>
  <c r="V9" i="2"/>
  <c r="W9" i="2" s="1"/>
  <c r="X9" i="2" s="1"/>
  <c r="V40" i="2"/>
  <c r="W40" i="2" s="1"/>
  <c r="X40" i="2" s="1"/>
  <c r="V39" i="2"/>
  <c r="W39" i="2" s="1"/>
  <c r="X39" i="2" s="1"/>
  <c r="V26" i="2"/>
  <c r="W26" i="2" s="1"/>
  <c r="X26" i="2" s="1"/>
  <c r="V48" i="2"/>
  <c r="W48" i="2" s="1"/>
  <c r="X48" i="2" s="1"/>
  <c r="V43" i="2"/>
  <c r="W43" i="2" s="1"/>
  <c r="X43" i="2" s="1"/>
  <c r="V38" i="2"/>
  <c r="W38" i="2" s="1"/>
  <c r="X38" i="2" s="1"/>
  <c r="V25" i="2"/>
  <c r="W25" i="2" s="1"/>
  <c r="X25" i="2" s="1"/>
  <c r="V84" i="2"/>
  <c r="W84" i="2" s="1"/>
  <c r="X84" i="2" s="1"/>
  <c r="V27" i="2"/>
  <c r="W27" i="2" s="1"/>
  <c r="X27" i="2" s="1"/>
  <c r="V22" i="2"/>
  <c r="W22" i="2" s="1"/>
  <c r="X22" i="2" s="1"/>
  <c r="V70" i="2"/>
  <c r="W70" i="2" s="1"/>
  <c r="X70" i="2" s="1"/>
  <c r="V69" i="2"/>
  <c r="W69" i="2" s="1"/>
  <c r="X69" i="2" s="1"/>
  <c r="V15" i="2"/>
  <c r="W15" i="2" s="1"/>
  <c r="X15" i="2" s="1"/>
  <c r="V14" i="2"/>
  <c r="W14" i="2" s="1"/>
  <c r="X14" i="2" s="1"/>
  <c r="V41" i="2"/>
  <c r="W41" i="2" s="1"/>
  <c r="X41" i="2" s="1"/>
  <c r="V33" i="2"/>
  <c r="W33" i="2" s="1"/>
  <c r="X33" i="2" s="1"/>
  <c r="V82" i="2"/>
  <c r="W82" i="2" s="1"/>
  <c r="X82" i="2" s="1"/>
  <c r="V81" i="2"/>
  <c r="W81" i="2" s="1"/>
  <c r="X81" i="2" s="1"/>
  <c r="V80" i="2"/>
  <c r="W80" i="2" s="1"/>
  <c r="X80" i="2" s="1"/>
  <c r="V79" i="2"/>
  <c r="W79" i="2" s="1"/>
  <c r="X79" i="2" s="1"/>
  <c r="W71" i="2"/>
  <c r="X71" i="2" s="1"/>
  <c r="W74" i="2"/>
  <c r="X74" i="2" s="1"/>
  <c r="V52" i="2"/>
  <c r="W52" i="2" s="1"/>
  <c r="X52" i="2" s="1"/>
  <c r="V51" i="2"/>
  <c r="W51" i="2" s="1"/>
  <c r="X51" i="2" s="1"/>
  <c r="V50" i="2"/>
  <c r="W50" i="2" s="1"/>
  <c r="X50" i="2" s="1"/>
  <c r="V49" i="2"/>
  <c r="W49" i="2" s="1"/>
  <c r="X49" i="2" s="1"/>
  <c r="V61" i="2"/>
  <c r="W61" i="2" s="1"/>
  <c r="X61" i="2" s="1"/>
  <c r="V60" i="2"/>
  <c r="W60" i="2" s="1"/>
  <c r="X60" i="2" s="1"/>
  <c r="V59" i="2"/>
  <c r="W59" i="2" s="1"/>
  <c r="X59" i="2" s="1"/>
  <c r="V53" i="2"/>
  <c r="W53" i="2" s="1"/>
  <c r="X53" i="2" s="1"/>
  <c r="V67" i="2"/>
  <c r="W67" i="2" s="1"/>
  <c r="X67" i="2" s="1"/>
  <c r="V66" i="2"/>
  <c r="W66" i="2" s="1"/>
  <c r="X66" i="2" s="1"/>
  <c r="V65" i="2"/>
  <c r="W65" i="2" s="1"/>
  <c r="X65" i="2" s="1"/>
  <c r="V58" i="2"/>
  <c r="W58" i="2" s="1"/>
  <c r="X58" i="2" s="1"/>
  <c r="V57" i="2"/>
  <c r="V56" i="2"/>
  <c r="W56" i="2" s="1"/>
  <c r="X56" i="2" s="1"/>
  <c r="V8" i="2"/>
  <c r="W8" i="2" s="1"/>
  <c r="X8" i="2" s="1"/>
  <c r="V46" i="2"/>
  <c r="W46" i="2" s="1"/>
  <c r="X46" i="2" s="1"/>
  <c r="V45" i="2"/>
  <c r="W45" i="2" s="1"/>
  <c r="X45" i="2" s="1"/>
  <c r="V29" i="2"/>
  <c r="W29" i="2" s="1"/>
  <c r="X29" i="2" s="1"/>
  <c r="V28" i="2"/>
  <c r="W28" i="2" s="1"/>
  <c r="X28" i="2" s="1"/>
  <c r="V36" i="2"/>
  <c r="W36" i="2" s="1"/>
  <c r="X36" i="2" s="1"/>
  <c r="V24" i="2"/>
  <c r="W24" i="2" s="1"/>
  <c r="X24" i="2" s="1"/>
  <c r="V64" i="2"/>
  <c r="W64" i="2" s="1"/>
  <c r="X64" i="2" s="1"/>
  <c r="V63" i="2"/>
  <c r="V62" i="2"/>
  <c r="V54" i="2"/>
  <c r="V34" i="2"/>
  <c r="C30" i="1"/>
  <c r="C29" i="1"/>
  <c r="C28" i="1"/>
  <c r="C27" i="1"/>
  <c r="C26" i="1"/>
  <c r="C25" i="1"/>
  <c r="C24" i="1"/>
  <c r="C23" i="1"/>
  <c r="C22" i="1"/>
  <c r="F22" i="1"/>
  <c r="C21" i="1"/>
  <c r="F21" i="1"/>
  <c r="C20" i="1"/>
  <c r="C19" i="1"/>
  <c r="F13" i="1"/>
  <c r="F12" i="1"/>
  <c r="B6" i="1"/>
  <c r="AB6" i="2" l="1"/>
  <c r="W63" i="2"/>
  <c r="X63" i="2" s="1"/>
  <c r="AB10" i="2"/>
  <c r="W34" i="2"/>
  <c r="X34" i="2" s="1"/>
  <c r="AB7" i="2"/>
  <c r="W62" i="2"/>
  <c r="X62" i="2" s="1"/>
  <c r="AB9" i="2"/>
  <c r="W54" i="2"/>
  <c r="X54" i="2" s="1"/>
  <c r="AB8" i="2"/>
  <c r="W57" i="2"/>
  <c r="X57" i="2" s="1"/>
  <c r="H6" i="1" l="1"/>
  <c r="F19" i="1"/>
  <c r="F23" i="1"/>
  <c r="F20" i="1"/>
  <c r="C12" i="1"/>
  <c r="L6" i="1"/>
  <c r="C15" i="1"/>
  <c r="F6" i="1"/>
  <c r="D6" i="1"/>
  <c r="C14" i="1"/>
  <c r="C13" i="1"/>
  <c r="J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  <author>admin</author>
  </authors>
  <commentList>
    <comment ref="M22" authorId="0" shapeId="0" xr:uid="{3B40644A-302F-446F-ADF0-36359CE91350}">
      <text>
        <r>
          <rPr>
            <sz val="9"/>
            <color indexed="81"/>
            <rFont val="Tahoma"/>
            <family val="2"/>
          </rPr>
          <t xml:space="preserve">1. Ash will be linearly 
2 Reduce the contamination of Caol
3. Optimization of Blending ratio 
</t>
        </r>
      </text>
    </comment>
    <comment ref="S25" authorId="1" shapeId="0" xr:uid="{552AE2CA-3FCF-44D7-A9F8-5C4D282BF5FE}">
      <text>
        <r>
          <rPr>
            <b/>
            <sz val="9"/>
            <color indexed="81"/>
            <rFont val="Tahoma"/>
            <family val="2"/>
          </rPr>
          <t>Taken median after removing 5 outliers and p&lt;0.05</t>
        </r>
      </text>
    </comment>
    <comment ref="T25" authorId="1" shapeId="0" xr:uid="{C99B1094-4AA0-430C-9A5B-01CDA4F14E91}">
      <text>
        <r>
          <rPr>
            <b/>
            <sz val="9"/>
            <color indexed="81"/>
            <rFont val="Tahoma"/>
            <family val="2"/>
          </rPr>
          <t>p&lt;0.05, taken median and removed 2 outliers</t>
        </r>
      </text>
    </comment>
    <comment ref="P28" authorId="0" shapeId="0" xr:uid="{DBCAD06A-6D60-4A03-A715-F00F92471345}">
      <text>
        <r>
          <rPr>
            <sz val="9"/>
            <color indexed="81"/>
            <rFont val="Tahoma"/>
            <family val="2"/>
          </rPr>
          <t xml:space="preserve">1. Required work will be completed in Up-coming capital shutdown.
</t>
        </r>
      </text>
    </comment>
    <comment ref="N33" authorId="0" shapeId="0" xr:uid="{DB8DE55C-5237-4CEB-81B5-A8BAE76F705C}">
      <text>
        <r>
          <rPr>
            <sz val="9"/>
            <color indexed="81"/>
            <rFont val="Tahoma"/>
            <family val="2"/>
          </rPr>
          <t xml:space="preserve">1. MBF shutdown
</t>
        </r>
      </text>
    </comment>
    <comment ref="Q33" authorId="0" shapeId="0" xr:uid="{0FF51705-2E68-4CC4-A25F-F4B498C2371E}">
      <text>
        <r>
          <rPr>
            <sz val="9"/>
            <color indexed="81"/>
            <rFont val="Tahoma"/>
            <family val="2"/>
          </rPr>
          <t xml:space="preserve">1. MBF shutdown 
</t>
        </r>
      </text>
    </comment>
    <comment ref="R33" authorId="0" shapeId="0" xr:uid="{F3827F44-5782-4C35-A62A-80BA244D913A}">
      <text>
        <r>
          <rPr>
            <sz val="9"/>
            <color indexed="81"/>
            <rFont val="Tahoma"/>
            <family val="2"/>
          </rPr>
          <t xml:space="preserve">1.MBF shutdown
</t>
        </r>
      </text>
    </comment>
    <comment ref="M36" authorId="0" shapeId="0" xr:uid="{ABD9A1B0-7DA8-4E0F-8949-3EA9026796DB}">
      <text>
        <r>
          <rPr>
            <b/>
            <sz val="9"/>
            <color indexed="81"/>
            <rFont val="Tahoma"/>
            <family val="2"/>
          </rPr>
          <t xml:space="preserve">1. Caol quality change </t>
        </r>
      </text>
    </comment>
    <comment ref="R36" authorId="0" shapeId="0" xr:uid="{6A275BBC-3480-4125-B3AE-D8EB2DC41BBD}">
      <text>
        <r>
          <rPr>
            <sz val="9"/>
            <color indexed="81"/>
            <rFont val="Tahoma"/>
            <family val="2"/>
          </rPr>
          <t xml:space="preserve">1.Raining Season last year compared
</t>
        </r>
      </text>
    </comment>
    <comment ref="K37" authorId="0" shapeId="0" xr:uid="{2C4681CE-E399-4492-A85D-1FD218CDB54D}">
      <text>
        <r>
          <rPr>
            <sz val="9"/>
            <color indexed="81"/>
            <rFont val="Tahoma"/>
            <family val="2"/>
          </rPr>
          <t xml:space="preserve">1. Alignment issue Prime 
</t>
        </r>
      </text>
    </comment>
    <comment ref="K45" authorId="0" shapeId="0" xr:uid="{08CECD71-E127-458F-9D3A-5DC39DAE24AF}">
      <text>
        <r>
          <rPr>
            <b/>
            <sz val="9"/>
            <color indexed="81"/>
            <rFont val="Tahoma"/>
            <family val="2"/>
          </rPr>
          <t>1. Low screening efficiency 
2.low washing efficiency
3. feeding arrangment not working properly
4.</t>
        </r>
      </text>
    </comment>
    <comment ref="M45" authorId="0" shapeId="0" xr:uid="{744F35BC-DF41-40BE-8675-AD462B7C7355}">
      <text>
        <r>
          <rPr>
            <sz val="9"/>
            <color indexed="81"/>
            <rFont val="Tahoma"/>
            <family val="2"/>
          </rPr>
          <t xml:space="preserve">1.
</t>
        </r>
      </text>
    </comment>
    <comment ref="N45" authorId="0" shapeId="0" xr:uid="{1A16FDCD-6BC8-4281-8578-96EEBD6A67C7}">
      <text>
        <r>
          <rPr>
            <sz val="9"/>
            <color indexed="81"/>
            <rFont val="Tahoma"/>
            <family val="2"/>
          </rPr>
          <t xml:space="preserve">1. 
</t>
        </r>
      </text>
    </comment>
    <comment ref="M53" authorId="0" shapeId="0" xr:uid="{F891D13F-B1DD-447E-B617-AC8F84CA1086}">
      <text>
        <r>
          <rPr>
            <sz val="9"/>
            <color indexed="81"/>
            <rFont val="Tahoma"/>
            <family val="2"/>
          </rPr>
          <t xml:space="preserve">1.Capital repairing delay by one month
2. this delay worsen the productivity 
</t>
        </r>
      </text>
    </comment>
    <comment ref="N53" authorId="0" shapeId="0" xr:uid="{1DEBD2D9-3621-4316-AC51-EAC3DD16F3F9}">
      <text>
        <r>
          <rPr>
            <sz val="9"/>
            <color indexed="81"/>
            <rFont val="Tahoma"/>
            <family val="2"/>
          </rPr>
          <t xml:space="preserve">1.Capital repairing 
2.
</t>
        </r>
      </text>
    </comment>
    <comment ref="T53" authorId="1" shapeId="0" xr:uid="{6138FCA0-9DEE-4921-8E4D-067CA30813E6}">
      <text>
        <r>
          <rPr>
            <b/>
            <sz val="9"/>
            <color indexed="81"/>
            <rFont val="Tahoma"/>
            <family val="2"/>
          </rPr>
          <t xml:space="preserve">After removing 3 outliers 
</t>
        </r>
      </text>
    </comment>
    <comment ref="T83" authorId="1" shapeId="0" xr:uid="{A4B2F5B0-2AEF-411F-B4B2-BE8330220E14}">
      <text>
        <r>
          <rPr>
            <b/>
            <sz val="9"/>
            <color indexed="81"/>
            <rFont val="Tahoma"/>
            <family val="2"/>
          </rPr>
          <t>P-Value &lt; 0.05</t>
        </r>
      </text>
    </comment>
    <comment ref="O84" authorId="0" shapeId="0" xr:uid="{2A88CD02-0769-4CCC-A0DF-2905CC88AF90}">
      <text>
        <r>
          <rPr>
            <sz val="9"/>
            <color indexed="81"/>
            <rFont val="Tahoma"/>
            <family val="2"/>
          </rPr>
          <t xml:space="preserve">1.Main power off during charging but now power will be off at the time electro replacement.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B3" authorId="0" shapeId="0" xr:uid="{CD65F78D-8D0C-47F4-9F56-89696BB3DC74}">
      <text>
        <r>
          <rPr>
            <sz val="9"/>
            <color indexed="81"/>
            <rFont val="Tahoma"/>
            <family val="2"/>
          </rPr>
          <t xml:space="preserve">Time oriented causal variable
</t>
        </r>
      </text>
    </comment>
    <comment ref="C3" authorId="0" shapeId="0" xr:uid="{4F3576EE-B52C-4CA6-9A6B-4A20489ED138}">
      <text>
        <r>
          <rPr>
            <sz val="9"/>
            <color indexed="81"/>
            <rFont val="Tahoma"/>
            <family val="2"/>
          </rPr>
          <t xml:space="preserve">Categorical causal variable
</t>
        </r>
      </text>
    </comment>
    <comment ref="D3" authorId="0" shapeId="0" xr:uid="{9DA65B53-E9B7-4A4A-B18C-DF8CAF528904}">
      <text>
        <r>
          <rPr>
            <sz val="9"/>
            <color indexed="81"/>
            <rFont val="Tahoma"/>
            <family val="2"/>
          </rPr>
          <t xml:space="preserve">Numeric Cause
</t>
        </r>
      </text>
    </comment>
    <comment ref="E3" authorId="0" shapeId="0" xr:uid="{8C52B0B4-129E-4AA8-8BA0-8A5FA882CB07}">
      <text>
        <r>
          <rPr>
            <sz val="9"/>
            <color indexed="81"/>
            <rFont val="Tahoma"/>
            <family val="2"/>
          </rPr>
          <t xml:space="preserve">Target Variable
</t>
        </r>
      </text>
    </comment>
    <comment ref="F3" authorId="0" shapeId="0" xr:uid="{7D872857-9B7E-465E-8AE0-708287454BE5}">
      <text>
        <r>
          <rPr>
            <sz val="9"/>
            <color indexed="81"/>
            <rFont val="Tahoma"/>
            <family val="2"/>
          </rPr>
          <t xml:space="preserve">Consequent variable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B2" authorId="0" shapeId="0" xr:uid="{AD85CE18-DB83-4125-B944-77EA2C154609}">
      <text>
        <r>
          <rPr>
            <sz val="9"/>
            <color indexed="81"/>
            <rFont val="Tahoma"/>
            <family val="2"/>
          </rPr>
          <t xml:space="preserve">Time oriented causal variable
</t>
        </r>
      </text>
    </comment>
    <comment ref="D2" authorId="0" shapeId="0" xr:uid="{E2B54556-E02E-450F-A9AE-05D3450AF86E}">
      <text>
        <r>
          <rPr>
            <sz val="9"/>
            <color indexed="81"/>
            <rFont val="Tahoma"/>
            <family val="2"/>
          </rPr>
          <t xml:space="preserve">Categorical causal variable
</t>
        </r>
      </text>
    </comment>
    <comment ref="H2" authorId="0" shapeId="0" xr:uid="{52F6C3FE-2BAD-49C6-BC10-24AF5D767F35}">
      <text>
        <r>
          <rPr>
            <sz val="9"/>
            <color indexed="81"/>
            <rFont val="Tahoma"/>
            <family val="2"/>
          </rPr>
          <t xml:space="preserve">identification no
</t>
        </r>
      </text>
    </comment>
    <comment ref="K2" authorId="0" shapeId="0" xr:uid="{72C3373B-AA7D-4E95-9E99-7A2DD5632F48}">
      <text>
        <r>
          <rPr>
            <sz val="9"/>
            <color indexed="81"/>
            <rFont val="Tahoma"/>
            <family val="2"/>
          </rPr>
          <t xml:space="preserve">Numeric Cause
</t>
        </r>
      </text>
    </comment>
    <comment ref="N2" authorId="0" shapeId="0" xr:uid="{62CBF54D-5564-47DD-B288-B0372AEE0AA2}">
      <text>
        <r>
          <rPr>
            <sz val="9"/>
            <color indexed="81"/>
            <rFont val="Tahoma"/>
            <family val="2"/>
          </rPr>
          <t xml:space="preserve">Target Variable
</t>
        </r>
      </text>
    </comment>
    <comment ref="O2" authorId="0" shapeId="0" xr:uid="{0AA4E44C-A1D5-4168-8385-7EA6AB8EC188}">
      <text>
        <r>
          <rPr>
            <sz val="9"/>
            <color indexed="81"/>
            <rFont val="Tahoma"/>
            <family val="2"/>
          </rPr>
          <t xml:space="preserve">Consequent variable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15" authorId="0" shapeId="0" xr:uid="{2B730881-6C4E-4C5F-A0BB-BEFE654B213D}">
      <text>
        <r>
          <rPr>
            <b/>
            <sz val="9"/>
            <color indexed="81"/>
            <rFont val="Tahoma"/>
            <family val="2"/>
          </rPr>
          <t>Higher the better</t>
        </r>
        <r>
          <rPr>
            <sz val="9"/>
            <color indexed="81"/>
            <rFont val="Tahoma"/>
            <family val="2"/>
          </rPr>
          <t xml:space="preserve">
Lower the better
Target is the best
Unstructured Data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B5" authorId="0" shapeId="0" xr:uid="{0A223366-C730-4C42-A8C9-2F57DA5C810C}">
      <text>
        <r>
          <rPr>
            <sz val="9"/>
            <color indexed="81"/>
            <rFont val="Tahoma"/>
            <family val="2"/>
          </rPr>
          <t xml:space="preserve">Multigeneration Product plan
</t>
        </r>
      </text>
    </comment>
    <comment ref="B53" authorId="0" shapeId="0" xr:uid="{3FAA4D6A-8D2D-4555-A252-328B1C8879BA}">
      <text>
        <r>
          <rPr>
            <sz val="9"/>
            <color indexed="81"/>
            <rFont val="Tahoma"/>
            <family val="2"/>
          </rPr>
          <t xml:space="preserve">Multigeneration process Plan
</t>
        </r>
      </text>
    </comment>
    <comment ref="B64" authorId="0" shapeId="0" xr:uid="{A5730FBE-E1F8-44DC-BE2C-B75ECD07EB50}">
      <text>
        <r>
          <rPr>
            <sz val="9"/>
            <color indexed="81"/>
            <rFont val="Tahoma"/>
            <family val="2"/>
          </rPr>
          <t xml:space="preserve">Multigeneration Technology platform
</t>
        </r>
      </text>
    </comment>
    <comment ref="B69" authorId="0" shapeId="0" xr:uid="{573DA306-4FE9-4BF5-BD5E-4ACEDF00E0B1}">
      <text>
        <r>
          <rPr>
            <sz val="9"/>
            <color indexed="81"/>
            <rFont val="Tahoma"/>
            <family val="2"/>
          </rPr>
          <t xml:space="preserve">1. Iner &amp; outer profile differ but gasket profile same
</t>
        </r>
      </text>
    </comment>
    <comment ref="B71" authorId="0" shapeId="0" xr:uid="{C8126B72-A8F7-48CC-8E3D-FC830315807D}">
      <text>
        <r>
          <rPr>
            <sz val="9"/>
            <color indexed="81"/>
            <rFont val="Tahoma"/>
            <family val="2"/>
          </rPr>
          <t>1. Internal profile of socket &amp; gasket design will be same with socket spigot push on joint 
only outer profile of the socket will differ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J33" authorId="0" shapeId="0" xr:uid="{AF14B820-C330-4AEE-8DA7-901DF42757B0}">
      <text>
        <r>
          <rPr>
            <b/>
            <sz val="9"/>
            <color indexed="81"/>
            <rFont val="Tahoma"/>
            <family val="2"/>
          </rPr>
          <t xml:space="preserve">1.No midle east war 
2.Goverment will released plan found
3. 15 % Export plan
4. </t>
        </r>
      </text>
    </comment>
  </commentList>
</comments>
</file>

<file path=xl/sharedStrings.xml><?xml version="1.0" encoding="utf-8"?>
<sst xmlns="http://schemas.openxmlformats.org/spreadsheetml/2006/main" count="2242" uniqueCount="996">
  <si>
    <t>SIX SIGMA / SSBB PROJECT TRACKING — DASHBOARD</t>
  </si>
  <si>
    <t>Live summary of all improvement projects  |  Source sheet: 'Project Tracking'  |  Data rows 6-85</t>
  </si>
  <si>
    <t>TOTAL PROJECTS</t>
  </si>
  <si>
    <t>ACHIEVED</t>
  </si>
  <si>
    <t>ON TRACK</t>
  </si>
  <si>
    <t>NEEDS ATTENTION</t>
  </si>
  <si>
    <t>NO DATA</t>
  </si>
  <si>
    <t>ACHIEVEMENT RATE</t>
  </si>
  <si>
    <t>STATUS BREAKDOWN</t>
  </si>
  <si>
    <t>PROJECTS BY BATCH</t>
  </si>
  <si>
    <t>PROJECTS BY LOCATION / UNIT</t>
  </si>
  <si>
    <t>Status</t>
  </si>
  <si>
    <t>Count</t>
  </si>
  <si>
    <t>Batch</t>
  </si>
  <si>
    <t>Location</t>
  </si>
  <si>
    <t>Achieved</t>
  </si>
  <si>
    <t>Batch I</t>
  </si>
  <si>
    <t>Unit-I</t>
  </si>
  <si>
    <t>On Track</t>
  </si>
  <si>
    <t>Batch II</t>
  </si>
  <si>
    <t>Unit-III</t>
  </si>
  <si>
    <t>Needs Attention</t>
  </si>
  <si>
    <t>Unit-IV</t>
  </si>
  <si>
    <t>No Data</t>
  </si>
  <si>
    <t>HO</t>
  </si>
  <si>
    <t>JSBIL</t>
  </si>
  <si>
    <t>Mackeil</t>
  </si>
  <si>
    <t>TOP DEPARTMENTS BY PROJECT COUNT</t>
  </si>
  <si>
    <t>PERFORMANCE METRICS</t>
  </si>
  <si>
    <t>Department</t>
  </si>
  <si>
    <t>Avg. Progress % (all projects)</t>
  </si>
  <si>
    <t>Business Excellence</t>
  </si>
  <si>
    <t>Median Progress % (all projects)</t>
  </si>
  <si>
    <t>MBF Operation</t>
  </si>
  <si>
    <t>Projects w/ Increasing target</t>
  </si>
  <si>
    <t>Human Resource</t>
  </si>
  <si>
    <t>Projects w/ Decreasing target</t>
  </si>
  <si>
    <t>Ferro Operations</t>
  </si>
  <si>
    <t>Projects reporting data (non-blank)</t>
  </si>
  <si>
    <t>Operation</t>
  </si>
  <si>
    <t>Distinct Locations / Units</t>
  </si>
  <si>
    <t>DIP Mechanical</t>
  </si>
  <si>
    <t>Distinct Departments</t>
  </si>
  <si>
    <t>DRI</t>
  </si>
  <si>
    <t>CPP Operations</t>
  </si>
  <si>
    <t>DIP Marketing</t>
  </si>
  <si>
    <t>Central Electrical</t>
  </si>
  <si>
    <t>DIP Operation</t>
  </si>
  <si>
    <t>RMHS Electrical</t>
  </si>
  <si>
    <t>VISUAL ANALYSIS</t>
  </si>
  <si>
    <t>Note: All figures are formulas linked live to the 'Project Tracking' sheet (rows 6-85) and refresh automatically when that data changes. 'Achievement Rate' = Achieved projects ÷ Total projects.</t>
  </si>
  <si>
    <t>SIX SIGMA / SSBB PROJECT TRACKING SHEET</t>
  </si>
  <si>
    <t>Participants | Project Theme | Baseline Period, UOM &amp; Data | Target | Monthly Tracking (Jan–Jun) | Location &amp; Department</t>
  </si>
  <si>
    <t>PROJECT &amp; PARTICIPANT INFO</t>
  </si>
  <si>
    <t>PROJECT TYPE</t>
  </si>
  <si>
    <t>BASELINE &amp; TARGET</t>
  </si>
  <si>
    <t>MONTH-WISE ACTUAL TRACKING (JAN – JUN)</t>
  </si>
  <si>
    <t>PERFORMANCE SUMMARY</t>
  </si>
  <si>
    <t>S.No</t>
  </si>
  <si>
    <t>Employee
Code</t>
  </si>
  <si>
    <t>Participant's Name</t>
  </si>
  <si>
    <t>Location / Unit</t>
  </si>
  <si>
    <t>Project Theme / Title</t>
  </si>
  <si>
    <t>Improvement
Direction</t>
  </si>
  <si>
    <t>Baseline UOM</t>
  </si>
  <si>
    <t>Baseline Period</t>
  </si>
  <si>
    <t>Baseline
Data</t>
  </si>
  <si>
    <t>Target</t>
  </si>
  <si>
    <t>Jan-26</t>
  </si>
  <si>
    <t>Feb-26</t>
  </si>
  <si>
    <t>Mar-26</t>
  </si>
  <si>
    <t>Apr-26</t>
  </si>
  <si>
    <t>May-26</t>
  </si>
  <si>
    <t>Jun-26</t>
  </si>
  <si>
    <t>Average
(Actual)</t>
  </si>
  <si>
    <t>Progress
%</t>
  </si>
  <si>
    <t>I</t>
  </si>
  <si>
    <t>Akram Imran</t>
  </si>
  <si>
    <t>Operations</t>
  </si>
  <si>
    <t>Improve the Avg Productivity of Kiln per Month from 37.42 ton  to 43 ton for Kiln#1</t>
  </si>
  <si>
    <t>Increasing</t>
  </si>
  <si>
    <t>TPD</t>
  </si>
  <si>
    <t>Dec'24 -Sept'25</t>
  </si>
  <si>
    <t>Manas Mukherjee</t>
  </si>
  <si>
    <t>Increase the Avg Metal recovery(High SiMg) from 83.48% to 90 % for Furnace #1</t>
  </si>
  <si>
    <t>%</t>
  </si>
  <si>
    <t>Jan'25-Sept25</t>
  </si>
  <si>
    <t>Ravindra Kumar Meherwal</t>
  </si>
  <si>
    <t>Increase the Avg Load factor of LCFC per month(for furnace 1 to 5) from 0.78 to 0.83.</t>
  </si>
  <si>
    <t>Load Factor</t>
  </si>
  <si>
    <t>Jul'25-Oct'25</t>
  </si>
  <si>
    <t>Sandip Sil ,A.P Sahoo,Sudipta Chatterjee,Ashish Ranjan</t>
  </si>
  <si>
    <t>Reducing over all rejection of DIP from 12.7 % to 9.7 % .for K7 .</t>
  </si>
  <si>
    <t>Decreasing</t>
  </si>
  <si>
    <t>Dec'24-Oct'25</t>
  </si>
  <si>
    <t>Reducing over all rejection of DIP from 9.8 to 6.8 % for K9.</t>
  </si>
  <si>
    <t>Sandipan Ghosh</t>
  </si>
  <si>
    <t>Increase the average plant availability of Iron Ore Washery from 84.48 % per day to &gt;90% for IOW-1 .</t>
  </si>
  <si>
    <t>Apr'25-Oct'25</t>
  </si>
  <si>
    <t>Increase the average plant availability of Iron Ore Washery  from 81.70% per day to &gt;90% for IOW-2.</t>
  </si>
  <si>
    <t>Binoy Kumar Vishwakarma</t>
  </si>
  <si>
    <t>Sinter Operation</t>
  </si>
  <si>
    <t>Reduce the specific energy consumption per ton of sinter from 299887 to &lt;284652 Kcal/TS.</t>
  </si>
  <si>
    <t>Jan'25-Dec'25</t>
  </si>
  <si>
    <t>II</t>
  </si>
  <si>
    <t>Molay Pan</t>
  </si>
  <si>
    <t>Coke Oven Electrical</t>
  </si>
  <si>
    <t>Reduce Specific energy consumption per day of Coke oven plant from 9.36 KWh/Ton to &lt; 8 KWh/Ton .</t>
  </si>
  <si>
    <t xml:space="preserve">KWh/Ton </t>
  </si>
  <si>
    <t>Jan'25 - Dec'25</t>
  </si>
  <si>
    <t>Harsh Sharma</t>
  </si>
  <si>
    <t>Sinter Mechanical</t>
  </si>
  <si>
    <t>Reducing Down time per month from  8.77 to &lt; 5 hr for SP1 .</t>
  </si>
  <si>
    <t>Hrs/month</t>
  </si>
  <si>
    <t>May'25-Aug'25</t>
  </si>
  <si>
    <t>Reducing Down time per month from from 6.13 to &lt; 3  hr for SP2.</t>
  </si>
  <si>
    <t>Decresing</t>
  </si>
  <si>
    <t>Prasanta Karmakar</t>
  </si>
  <si>
    <t>RMHS Operation</t>
  </si>
  <si>
    <t>Increase the average monthly efficiency of Iron ore Washery Plant-1 from  77.25 % to &gt;85%.</t>
  </si>
  <si>
    <t>Apr'25-Sept-25</t>
  </si>
  <si>
    <t xml:space="preserve">Increase the average monthly efficiency of Iron ore Washery Plant-2 from  78.26 % to &gt;85% </t>
  </si>
  <si>
    <t>Alok Mandal</t>
  </si>
  <si>
    <t>Reduce the average Gox Venting Loss per month from 339 to 180 MT.</t>
  </si>
  <si>
    <t>Sailesh Singh Yadav</t>
  </si>
  <si>
    <t xml:space="preserve">Cr Recovery from 87 % to &gt; 90% ( Grade - Cr-60 &amp; C-0.50 %) in Ferro alloys division in AOD </t>
  </si>
  <si>
    <t>Augt'25-Dec'25</t>
  </si>
  <si>
    <t xml:space="preserve">Cr Recovery from 87 % to &gt; 90% ( Grade - Cr-60 &amp; C-5 %) in Ferro alloys division in AOD </t>
  </si>
  <si>
    <t xml:space="preserve">Cr Recovery from 87 % to &gt; 90%( Grade - Cr-66 &amp; C-0.75 %) in Ferro alloys division in AOD </t>
  </si>
  <si>
    <t>Oct'25-Dec'25</t>
  </si>
  <si>
    <t>Sanjay Nayak</t>
  </si>
  <si>
    <t>Average the Cr recovery of Furnace -1 84.93 % per month  88.0 % per Month</t>
  </si>
  <si>
    <t>Sept'25 - Dec'25</t>
  </si>
  <si>
    <t>Average the Cr recovery of Furnace -2 80.23  % per month  85.0 % per Month</t>
  </si>
  <si>
    <t>Average the Cr recovery of Furnace -III 87.83  % per month  90.0 % per Month</t>
  </si>
  <si>
    <t>Pushpendra Ganguly</t>
  </si>
  <si>
    <t>Increase the Avg Productivity of MBF2 per day from 3.01 Ton/m3 to &gt;3.606 Ton/m3 .</t>
  </si>
  <si>
    <t>Ton/day/m3</t>
  </si>
  <si>
    <t>Samanway Das</t>
  </si>
  <si>
    <t>Reduce the Fuel consumption of Blast furnace 2  per day from 607 Kg/THM to 550 Kg/THM.</t>
  </si>
  <si>
    <t>Kg/THM</t>
  </si>
  <si>
    <t>Reduce coke Rate of Blast furnace 2  per day from ---- Kg/THM to ---- Kg/THM.</t>
  </si>
  <si>
    <t>Reduce coal Injection  Rate of Blast furnace 2  per day from ---- Kg/THM to ---- Kg/THM.</t>
  </si>
  <si>
    <t>Prithwis Bhattacharya</t>
  </si>
  <si>
    <t>To reduce the frequency of downtime per month in M/C 5 from 58  to 46 respectively i.e increase MTBF without increase MTTR.</t>
  </si>
  <si>
    <t>Nos.</t>
  </si>
  <si>
    <t>Nov'24-Oct'25</t>
  </si>
  <si>
    <t>To reduce the frequency of downtime per month in M/C 6 from 55 to 44 respectively i.e increase MTBF without increase MTTR.</t>
  </si>
  <si>
    <t>To reduce the frequency of downtime per month in M/C 7A from 75 to 60 respectively i.e increase MTBF without increase MTTR.</t>
  </si>
  <si>
    <t>To reduce the frequency of downtime per month in M/C  9 from 63 to 50 respectively i.e increase MTBF without increase MTTR.</t>
  </si>
  <si>
    <t>Somnath Patra</t>
  </si>
  <si>
    <t>Sinter Electrical</t>
  </si>
  <si>
    <t>Reduce the Specific Power Consumption of Sinter Plant 1 from  61kWh/MT to  &lt;45 kWh/MT per day.</t>
  </si>
  <si>
    <t>kWh/Ton</t>
  </si>
  <si>
    <t>Aug'25-Nov'25</t>
  </si>
  <si>
    <t>Shantimoy Som</t>
  </si>
  <si>
    <t xml:space="preserve">Coke Oven </t>
  </si>
  <si>
    <t>Increase  Avg steam  of WHRB plant from 44958 Ton/Month to 53949 Ton/Month .</t>
  </si>
  <si>
    <t>MT/Month</t>
  </si>
  <si>
    <t>Oct24-Sep'25</t>
  </si>
  <si>
    <t>Sugyan Dora</t>
  </si>
  <si>
    <t xml:space="preserve">DRI </t>
  </si>
  <si>
    <t>Productivity Improvement by enhancing Kilen#1</t>
  </si>
  <si>
    <t>MT/Hr</t>
  </si>
  <si>
    <t>Sep'25-Dec'25</t>
  </si>
  <si>
    <t>Productivity Improvement by enhancing Kilen#II</t>
  </si>
  <si>
    <t>Productivity Improvement by enhancing Kilen#III</t>
  </si>
  <si>
    <t>Productivity Improvement by enhancing Kilen#IV</t>
  </si>
  <si>
    <t>Kumar Dipendra</t>
  </si>
  <si>
    <t>Increasing Steam Generation in BF Gas Boiler(free fuel Based)  from 21138 Ton/Month to &gt; 24520 Ton/Month</t>
  </si>
  <si>
    <t>Ton/Month</t>
  </si>
  <si>
    <t>Mar-25-Oct-25</t>
  </si>
  <si>
    <t>Papan Nayak</t>
  </si>
  <si>
    <t>Reduce the Avg Steam loss of Power Plant per month from 8895 to 2261 ton.</t>
  </si>
  <si>
    <t>Dec'24-Oct25</t>
  </si>
  <si>
    <t>Arijit Mondal</t>
  </si>
  <si>
    <t>Increase the Steam Generation rate of 85 TPH Boiler per month from 49 to 76 ton/hrs.</t>
  </si>
  <si>
    <t>Ton/hrs</t>
  </si>
  <si>
    <t>Jan-25-Nov-25</t>
  </si>
  <si>
    <t>Arun Thatoi</t>
  </si>
  <si>
    <t>Increase Average Load Factor  of Unit-IV from 72.49 %  to &gt;80 % per Day</t>
  </si>
  <si>
    <t>Aug'25-Dec'25</t>
  </si>
  <si>
    <t>Sashank Shekhar</t>
  </si>
  <si>
    <t>MBF-Mechanical</t>
  </si>
  <si>
    <t>Increased Productivity of Pig Casting Machine -1 (Double Strand)</t>
  </si>
  <si>
    <t>MT/Day</t>
  </si>
  <si>
    <t>2026-06-01 00:00:00</t>
  </si>
  <si>
    <t>Increased Productivity of Pig Casting Machine -2 (Double Stand)</t>
  </si>
  <si>
    <t>B.K Mishra</t>
  </si>
  <si>
    <t>Coke Oven Operation</t>
  </si>
  <si>
    <t>Reduce the Ash % in Coke of Coke oven plant per month from 12.84 to &lt;12.5 .</t>
  </si>
  <si>
    <t>Jul'25-Dec'25</t>
  </si>
  <si>
    <t>Goutam Patel</t>
  </si>
  <si>
    <t>Reduce the specific power Consumption of Furnace-2 per day from 4251 kWh/MT to 3700 kWh/MT of Ferro Alloys.</t>
  </si>
  <si>
    <t>Kwh/MT</t>
  </si>
  <si>
    <t>April-25 -Jan'26</t>
  </si>
  <si>
    <t>Surajit Thakur</t>
  </si>
  <si>
    <t xml:space="preserve">Electrical </t>
  </si>
  <si>
    <t>Reduce Power Consumption per Heat of Furnace-2 from 6951 kWh to &lt;6700 kWh in LCFC Plant.</t>
  </si>
  <si>
    <t>kWh/Heat</t>
  </si>
  <si>
    <t>Biswanath Banerjee</t>
  </si>
  <si>
    <t>Drawings and Design</t>
  </si>
  <si>
    <t>Reduce the Invisible Zn losses  of DIP per day from 41.03 gram/m2  to 12.0gram/m2 .</t>
  </si>
  <si>
    <t>Gram/m2</t>
  </si>
  <si>
    <t>Nagesh Kumar</t>
  </si>
  <si>
    <t>DIP Electrical</t>
  </si>
  <si>
    <t>Reduce the specific power consumption of DIP Compressor from 52.83 KWH/MT to 35 KWH/MT per day.</t>
  </si>
  <si>
    <t>Augt'25-Nov'25</t>
  </si>
  <si>
    <t>Prakash Joshi</t>
  </si>
  <si>
    <t>Manpower cost optimization per month from 7.04 cr to 6.8 cr of Unit-III.</t>
  </si>
  <si>
    <t>Crore</t>
  </si>
  <si>
    <t>June-25-Sept'25</t>
  </si>
  <si>
    <t>Pratip Roy</t>
  </si>
  <si>
    <t>Reducing feeding variance from ------ to -------for yeild improvement .</t>
  </si>
  <si>
    <t>Gourav Sarkar</t>
  </si>
  <si>
    <t>BE -RM Operation</t>
  </si>
  <si>
    <t>Reduce Average Specific Power Consumption of Induction Heater Per Day from 41 to 25.</t>
  </si>
  <si>
    <t>Manoj Kumar</t>
  </si>
  <si>
    <t>Safety</t>
  </si>
  <si>
    <t>Reducing Mandays loss of Jai Balaji Unit-3 from 1546 per month to 600 per /month</t>
  </si>
  <si>
    <t>Days</t>
  </si>
  <si>
    <t>Jun'24-Dec'25</t>
  </si>
  <si>
    <t>Pankaj Dubey</t>
  </si>
  <si>
    <t>Reducing LWP per month from 3.094 to &lt;2%.</t>
  </si>
  <si>
    <t>Jan'25-Sep'25</t>
  </si>
  <si>
    <t>Amit Dahari</t>
  </si>
  <si>
    <t>MBF Electrical</t>
  </si>
  <si>
    <t>Reduce the Avg Specific energy consumption of MBF per month from 134.4 kWH/THM to 125  KWH/THM.</t>
  </si>
  <si>
    <t>KWH/THM</t>
  </si>
  <si>
    <t>Kalyan Lahiri</t>
  </si>
  <si>
    <t>Supply Chain Management</t>
  </si>
  <si>
    <t>Increase the average service cost saving of jai Balaji Industries Ltd Unit-III per month from 17.8 Lakh to 19.58 Lakh.</t>
  </si>
  <si>
    <t>Lakh</t>
  </si>
  <si>
    <t>Anupam Basak</t>
  </si>
  <si>
    <t>Quality</t>
  </si>
  <si>
    <t>To reduce the Avg Variation of Basicity of Sinter Plant 1 from 0.08 to  0.04 .</t>
  </si>
  <si>
    <t>Aug'25-Oct'25</t>
  </si>
  <si>
    <t>Atish Gupta</t>
  </si>
  <si>
    <t>Sales &amp; Marketing</t>
  </si>
  <si>
    <t>Improve on time Delivery of Finished Goods in Mackeil per month from 43 to 56%.</t>
  </si>
  <si>
    <t>Apr'25-Sep'25</t>
  </si>
  <si>
    <t>Nagendra singh</t>
  </si>
  <si>
    <t>Increase the Avg Productivity of MBF2 per day from 2.32 Ton/m3 to &gt;3.606 Ton/m3 .</t>
  </si>
  <si>
    <t>Ton/m3</t>
  </si>
  <si>
    <t>Bidyut Bikash Dinda</t>
  </si>
  <si>
    <t>Coke Oven Mechanical</t>
  </si>
  <si>
    <t>Reduce the average monthly  general Maintenance Cost per ton of Coke Oven Plant from ₹28.6 to &lt;₹25.</t>
  </si>
  <si>
    <t>₹/Ton</t>
  </si>
  <si>
    <t>Prasanta Basu</t>
  </si>
  <si>
    <t>ISO</t>
  </si>
  <si>
    <t>Reduction of Paper Consumption through Effective IMS Internal Audits &amp; Competence-Based Training from 27620 to &lt; 5524.</t>
  </si>
  <si>
    <t>Nos</t>
  </si>
  <si>
    <t>Jan'23-Jan'25</t>
  </si>
  <si>
    <t>Abdur Rowf</t>
  </si>
  <si>
    <t>Store</t>
  </si>
  <si>
    <t>Reducing Non moving items of Central store values from 6.3Cr. to &lt;3.15Cr. INR</t>
  </si>
  <si>
    <t>Cr</t>
  </si>
  <si>
    <t>Suman Majumder</t>
  </si>
  <si>
    <t>Operation (Chemist)</t>
  </si>
  <si>
    <t>Reducing the cost of laboratory operation by optimizing chemical and machine uses .</t>
  </si>
  <si>
    <t>INR/Heat</t>
  </si>
  <si>
    <t>Aniruddha Ray</t>
  </si>
  <si>
    <t>Accounts and Finance</t>
  </si>
  <si>
    <t>Reduce the Invoice processing time of unit IV from --- to -----.</t>
  </si>
  <si>
    <t>Ashok kumar Singh</t>
  </si>
  <si>
    <t>Industrial Relationship</t>
  </si>
  <si>
    <t>Increase the  Contractual Manpower engagement of Unit-III from ---- per month to 100 % .</t>
  </si>
  <si>
    <t>Sohel Rana</t>
  </si>
  <si>
    <t>Breakdown reduction in rolling Mill #2 from 15.03 % to  &lt;10.0%</t>
  </si>
  <si>
    <t>Hilary Joseph</t>
  </si>
  <si>
    <t>Reducing Manpower cost /MT 4.58 cr  from   3.67 cost/MT</t>
  </si>
  <si>
    <t>Cost/MT</t>
  </si>
  <si>
    <t>Arijit Modi</t>
  </si>
  <si>
    <t>Commercial</t>
  </si>
  <si>
    <t>To Reducing the Despatch cycle time from --- hrs to ---- hrs  of Jai salasar.</t>
  </si>
  <si>
    <t>PK Swain</t>
  </si>
  <si>
    <t>Improving power factor from ------- to -------- in Unit -IV.</t>
  </si>
  <si>
    <t>Ashutosh Pathak</t>
  </si>
  <si>
    <t>BE -DRI Operation</t>
  </si>
  <si>
    <t>Reduced Diesal Consumption from 5.60 Ltr/Hrs to 5.0 Ltr/Hr</t>
  </si>
  <si>
    <t>Ltr/Hrs</t>
  </si>
  <si>
    <t>Randhir Kumar</t>
  </si>
  <si>
    <t>Avinash Kumar Mahato</t>
  </si>
  <si>
    <t>Sidheswar Biswal</t>
  </si>
  <si>
    <t>Reducing unsafe condition per months from 406  to &lt; 203.</t>
  </si>
  <si>
    <t>Kamal kant</t>
  </si>
  <si>
    <t>BE-Mackeil Opeeartion</t>
  </si>
  <si>
    <t>Amitava Dasgupta</t>
  </si>
  <si>
    <t>Re-establish the tender data base (tender missing) ------- reducing tender processing time from ----- to ----- without adverse implication.</t>
  </si>
  <si>
    <t>Souptik Mondal</t>
  </si>
  <si>
    <t>Reducing the freight cost per Km /MT from 580 to  &lt;----.</t>
  </si>
  <si>
    <t>Per kM/MT</t>
  </si>
  <si>
    <t>Soumen Pal</t>
  </si>
  <si>
    <t>Re-establish the tendor data base (tendor missing) per month from  -------to ----.</t>
  </si>
  <si>
    <t>Sanjib Pattnaik</t>
  </si>
  <si>
    <t>UNIT-I</t>
  </si>
  <si>
    <t>Amitava Mukherjee</t>
  </si>
  <si>
    <t>Improve the Manpower engagement of HO from -- % per month to --- % per month.</t>
  </si>
  <si>
    <t>Roopam Rai</t>
  </si>
  <si>
    <t> Development of New Products with High Demand for Open Die Forgings Plant".</t>
  </si>
  <si>
    <t>Subhash Ghosh</t>
  </si>
  <si>
    <t>Civil</t>
  </si>
  <si>
    <t xml:space="preserve">Vendor cost optimization </t>
  </si>
  <si>
    <t>Kamal Bandyopadhyay</t>
  </si>
  <si>
    <t>Account</t>
  </si>
  <si>
    <t>Reduce Avg Planned vs. Actual Cost Variation of the MBF Plantper month from 1449 to 1232.</t>
  </si>
  <si>
    <t>Prashnat Yadav</t>
  </si>
  <si>
    <t>Estimation</t>
  </si>
  <si>
    <t>To Increased PO Conversation Ratio</t>
  </si>
  <si>
    <t>Mohammad Ahmad</t>
  </si>
  <si>
    <t xml:space="preserve">Optimize manpower cost of Unit -IV.
</t>
  </si>
  <si>
    <t>Legend:</t>
  </si>
  <si>
    <t>Note: 'Average (Actual)' = mean of Jan-Jun actuals entered. 'Progress %' compares Average vs Target relative to Baseline, direction-aware (Increasing/Decreasing). Source: Master Data sheet, 15projects_SSBB_Final.xlsx (Jan–Jun 2026 tracking).</t>
  </si>
  <si>
    <t>Ton/Day</t>
  </si>
  <si>
    <t>Sept'25-Dec'25</t>
  </si>
  <si>
    <t>Project File</t>
  </si>
  <si>
    <t>SSBB Project -Sandip Sil, Ambika Sahoo</t>
  </si>
  <si>
    <t>SSBB Project-Akram Imran</t>
  </si>
  <si>
    <t>SSBB Project-Manas Mukherjee</t>
  </si>
  <si>
    <t>SSBB Project-Ravindra Kumar Meherwal</t>
  </si>
  <si>
    <t>SSBB Project-Sandipan Ghosh</t>
  </si>
  <si>
    <t>SSBB Project-Binoy Kumar Vishwakarma</t>
  </si>
  <si>
    <t>SSBB Project-Molay Pan</t>
  </si>
  <si>
    <t>SSBB Project-Harsh Sharma</t>
  </si>
  <si>
    <t>SSBB Project-Prasanta Karmakar</t>
  </si>
  <si>
    <t>SSBB Project-Alok Mandal</t>
  </si>
  <si>
    <t>SSBB Project-Sailesh Singh Yadav</t>
  </si>
  <si>
    <t>SSBB Project-Sanjay Nayak</t>
  </si>
  <si>
    <t>SSBB Project-Pushpendra Ganguly</t>
  </si>
  <si>
    <t>SSBB Project-Samanway Das</t>
  </si>
  <si>
    <t>SSBB Project-Prithwis Bhattacharya</t>
  </si>
  <si>
    <t>SSBB Project-Somnath Patra</t>
  </si>
  <si>
    <t>SSBB Project-Shantimoy Som</t>
  </si>
  <si>
    <t>SSBB Project-Sugyan Dora</t>
  </si>
  <si>
    <t>SSBB Project-Kumar Dipendra</t>
  </si>
  <si>
    <t>SSBB Project-Papan Nayak</t>
  </si>
  <si>
    <t>SSBB Project-Arijit Mondal</t>
  </si>
  <si>
    <t>SSBB Project-Arun Thatoi</t>
  </si>
  <si>
    <t>SSBB Project-Sashank Shekhar</t>
  </si>
  <si>
    <t>SSBB Project-B.K Mishra</t>
  </si>
  <si>
    <t>SSBB Project-Goutam Patel</t>
  </si>
  <si>
    <t>SSBB Project-Surajit Thakur</t>
  </si>
  <si>
    <t>SSBB Project-Biswanath Banerjee</t>
  </si>
  <si>
    <t>SSBB Project-Nagesh Kumar</t>
  </si>
  <si>
    <t>SSBB Project-Prakash Joshi</t>
  </si>
  <si>
    <t>SSBB Project-Pratip Roy</t>
  </si>
  <si>
    <t>SSBB Project-Gourav Sarkar</t>
  </si>
  <si>
    <t>SSBB Project-Manoj Kumar</t>
  </si>
  <si>
    <t>SSBB Project-Pankaj Dubey</t>
  </si>
  <si>
    <t>SSBB Project-Amit Dahari</t>
  </si>
  <si>
    <t>SSBB Project-Kalyan Lahiri</t>
  </si>
  <si>
    <t>SSBB Project-Anupam Basak</t>
  </si>
  <si>
    <t>SSBB Project-Atish Gupta</t>
  </si>
  <si>
    <t>SSBB Project-Nagendra singh</t>
  </si>
  <si>
    <t>SSBB Project-Bidyut Bikash Dinda</t>
  </si>
  <si>
    <t>SSBB Project-Prasanta Basu</t>
  </si>
  <si>
    <t>SSBB Project-Abdur Rowf</t>
  </si>
  <si>
    <t>SSBB Project-Suman Majumder</t>
  </si>
  <si>
    <t>SSBB Project-Aniruddha Ray</t>
  </si>
  <si>
    <t>SSBB Project-Ashok kumar Singh</t>
  </si>
  <si>
    <t>SSBB Project-Sohel Rana</t>
  </si>
  <si>
    <t>SSBB Project-Hilary Joseph</t>
  </si>
  <si>
    <t>SSBB Project-PK Swain</t>
  </si>
  <si>
    <t>SSBB Project-Ashutosh Pathak</t>
  </si>
  <si>
    <t>SSBB Project-Sidheswar Biswal</t>
  </si>
  <si>
    <t>SSBB Project-Amitava Dasgupta</t>
  </si>
  <si>
    <t>SSBB Project-Souptik Mondal</t>
  </si>
  <si>
    <t>SSBB Project-Soumen Pal</t>
  </si>
  <si>
    <t>SSBB Project-Sanjib Pattnaik</t>
  </si>
  <si>
    <t>SSBB Project-Amitava Mukherjee</t>
  </si>
  <si>
    <t>SSBB Project-Roopam Rai</t>
  </si>
  <si>
    <t>SSBB Project-Subhash Ghosh</t>
  </si>
  <si>
    <t>SSBB Project-Kamal Bandyopadhyay</t>
  </si>
  <si>
    <t>SSBB Project-Prashnat Yadav</t>
  </si>
  <si>
    <t>SSBB Project-Mohammad Ahmad</t>
  </si>
  <si>
    <t>Reduce the Fuel consumption of Blast furnace 2  per day from 613 Kg/THM to 550 Kg/THM.</t>
  </si>
  <si>
    <t>Average the Cr recovery of Furnace -1 84.53 % per month  88.0 % per Month</t>
  </si>
  <si>
    <t>Reduce the Specific Power Consumption of Sinter Plant 1 from   52.99 kWh/MT to  &lt;45 kWh/MT per day.</t>
  </si>
  <si>
    <t>Nilesh Rathaur</t>
  </si>
  <si>
    <t>Review date</t>
  </si>
  <si>
    <t>Comment</t>
  </si>
  <si>
    <t>1. issue hopper
2.Monsoon wise data for six month
3.inser comment</t>
  </si>
  <si>
    <t>1.Issue hopper
2. Insert comment</t>
  </si>
  <si>
    <t>1.Issue hopper
2. Insert comment
3. Aug-26 ( Plan)</t>
  </si>
  <si>
    <t>Reduce coke Rate of Blast furnace 2  per day from 492 Kg/THM to 400 Kg/THM.</t>
  </si>
  <si>
    <t>1.Inser comment</t>
  </si>
  <si>
    <t>CTQ to convert Per day and Realing
2. issue hopper</t>
  </si>
  <si>
    <t>Project to be change</t>
  </si>
  <si>
    <t>To reduce the Avg Variation of Basicity of Sinter Plant 1 from 0.107 to  0.06 .</t>
  </si>
  <si>
    <t>Product</t>
  </si>
  <si>
    <t>B</t>
  </si>
  <si>
    <t>Mould</t>
  </si>
  <si>
    <t>B1</t>
  </si>
  <si>
    <t>B11</t>
  </si>
  <si>
    <t>industrial sectior</t>
  </si>
  <si>
    <t>DI pipe industries</t>
  </si>
  <si>
    <t>B11.1</t>
  </si>
  <si>
    <t>DN 100 to 350</t>
  </si>
  <si>
    <t>Sizes (mm)</t>
  </si>
  <si>
    <t>Length(mm)</t>
  </si>
  <si>
    <t>B2</t>
  </si>
  <si>
    <t>Ring Forging</t>
  </si>
  <si>
    <t>B2.1</t>
  </si>
  <si>
    <t>Wind energy</t>
  </si>
  <si>
    <t>Heavy Machinaries</t>
  </si>
  <si>
    <t>Y</t>
  </si>
  <si>
    <t>% Absentism</t>
  </si>
  <si>
    <t>Date</t>
  </si>
  <si>
    <t>Z1</t>
  </si>
  <si>
    <t>T1</t>
  </si>
  <si>
    <t>inventory volume</t>
  </si>
  <si>
    <t>Z2</t>
  </si>
  <si>
    <t>Rejection</t>
  </si>
  <si>
    <t xml:space="preserve">Financial </t>
  </si>
  <si>
    <t>Z3</t>
  </si>
  <si>
    <t>Over time</t>
  </si>
  <si>
    <t>Z3.1</t>
  </si>
  <si>
    <t>Day</t>
  </si>
  <si>
    <t>C1</t>
  </si>
  <si>
    <t>Volume of Product</t>
  </si>
  <si>
    <t>X1</t>
  </si>
  <si>
    <t>Month</t>
  </si>
  <si>
    <t>T2</t>
  </si>
  <si>
    <t>Labours</t>
  </si>
  <si>
    <t>No of Labourer</t>
  </si>
  <si>
    <t>X3</t>
  </si>
  <si>
    <t>Shift</t>
  </si>
  <si>
    <t>T3</t>
  </si>
  <si>
    <t>Y-Micro</t>
  </si>
  <si>
    <t>Absent-1
Present-0</t>
  </si>
  <si>
    <t xml:space="preserve">Cause for Absentism </t>
  </si>
  <si>
    <t>U1</t>
  </si>
  <si>
    <t>Role No</t>
  </si>
  <si>
    <t>I1</t>
  </si>
  <si>
    <t>Name</t>
  </si>
  <si>
    <t>Gender</t>
  </si>
  <si>
    <t>I1'</t>
  </si>
  <si>
    <t>I2</t>
  </si>
  <si>
    <t>X22</t>
  </si>
  <si>
    <t>X21</t>
  </si>
  <si>
    <t>Plan</t>
  </si>
  <si>
    <t>Actual</t>
  </si>
  <si>
    <t>A</t>
  </si>
  <si>
    <t>Mon</t>
  </si>
  <si>
    <t>L1</t>
  </si>
  <si>
    <t>Volume of Product(MT)</t>
  </si>
  <si>
    <t>Iron ores</t>
  </si>
  <si>
    <t>Chemical properties</t>
  </si>
  <si>
    <t>Physical properties</t>
  </si>
  <si>
    <t>T-Fe</t>
  </si>
  <si>
    <t>SiO2</t>
  </si>
  <si>
    <t>Al2O3</t>
  </si>
  <si>
    <t>P</t>
  </si>
  <si>
    <t>Mn</t>
  </si>
  <si>
    <t>TiO2</t>
  </si>
  <si>
    <t>Zn</t>
  </si>
  <si>
    <t>Moisture</t>
  </si>
  <si>
    <t>Oversize</t>
  </si>
  <si>
    <t>Undersize</t>
  </si>
  <si>
    <t>Tumbler Index</t>
  </si>
  <si>
    <t>Y1</t>
  </si>
  <si>
    <t>Y11</t>
  </si>
  <si>
    <t>Y12</t>
  </si>
  <si>
    <t>Y13</t>
  </si>
  <si>
    <t>Y14</t>
  </si>
  <si>
    <t>Y15</t>
  </si>
  <si>
    <t>Y16</t>
  </si>
  <si>
    <t>Y17</t>
  </si>
  <si>
    <t>Y18</t>
  </si>
  <si>
    <t>Y2</t>
  </si>
  <si>
    <t>Y21</t>
  </si>
  <si>
    <t>Y22</t>
  </si>
  <si>
    <t>Y23</t>
  </si>
  <si>
    <t>Y24</t>
  </si>
  <si>
    <t>Remark</t>
  </si>
  <si>
    <t>Mines</t>
  </si>
  <si>
    <t>C2</t>
  </si>
  <si>
    <t>Sample Qty</t>
  </si>
  <si>
    <t>C3</t>
  </si>
  <si>
    <t>Sampler</t>
  </si>
  <si>
    <t>CTQ --&gt;</t>
  </si>
  <si>
    <t>CODE</t>
  </si>
  <si>
    <t>DCP</t>
  </si>
  <si>
    <t>Description</t>
  </si>
  <si>
    <t>Type of Data</t>
  </si>
  <si>
    <t>UOM</t>
  </si>
  <si>
    <t>Type of Spec</t>
  </si>
  <si>
    <t>USL</t>
  </si>
  <si>
    <t>LSL</t>
  </si>
  <si>
    <t>TARGET</t>
  </si>
  <si>
    <t>Type of Product</t>
  </si>
  <si>
    <t>C4</t>
  </si>
  <si>
    <t>Minimum Frequency of Data</t>
  </si>
  <si>
    <t>Data Source</t>
  </si>
  <si>
    <t>Resposibility</t>
  </si>
  <si>
    <t>Reaction Plan or Troubleshooting checklist</t>
  </si>
  <si>
    <t>SOP</t>
  </si>
  <si>
    <t>Measurement Support System</t>
  </si>
  <si>
    <t>Instruments / Measurement Device / Test Method</t>
  </si>
  <si>
    <t>Make of the Instrument</t>
  </si>
  <si>
    <t>Age of the Instrument</t>
  </si>
  <si>
    <t>Credibility of the Instrument</t>
  </si>
  <si>
    <t>Accuracy</t>
  </si>
  <si>
    <t>Least Count</t>
  </si>
  <si>
    <t>Bias</t>
  </si>
  <si>
    <t>Calibration SOP</t>
  </si>
  <si>
    <t>LC of Calibrator</t>
  </si>
  <si>
    <t>Agreement %</t>
  </si>
  <si>
    <t>KAPPA Value</t>
  </si>
  <si>
    <t>Precision of Instru</t>
  </si>
  <si>
    <t>Sigma R&amp;R</t>
  </si>
  <si>
    <t>Comment on Accuracy</t>
  </si>
  <si>
    <t>Supplier</t>
  </si>
  <si>
    <t>Input</t>
  </si>
  <si>
    <t>Process</t>
  </si>
  <si>
    <t>Resource</t>
  </si>
  <si>
    <t>Output</t>
  </si>
  <si>
    <t>Customer</t>
  </si>
  <si>
    <t>Code</t>
  </si>
  <si>
    <t>Mining Mgmt</t>
  </si>
  <si>
    <t>Lab</t>
  </si>
  <si>
    <t>Test Result</t>
  </si>
  <si>
    <t>Pdn / Comm / Mgmt</t>
  </si>
  <si>
    <t>Requiremnts of mining</t>
  </si>
  <si>
    <t>R&amp;D</t>
  </si>
  <si>
    <t>P1</t>
  </si>
  <si>
    <t>Identify the sources</t>
  </si>
  <si>
    <t>P2</t>
  </si>
  <si>
    <t>select the source</t>
  </si>
  <si>
    <t>P3</t>
  </si>
  <si>
    <t>P4</t>
  </si>
  <si>
    <t>Communicate the requirement of vendor of the source</t>
  </si>
  <si>
    <t>P5</t>
  </si>
  <si>
    <t>P6</t>
  </si>
  <si>
    <t>Materialized or crytalized</t>
  </si>
  <si>
    <t>Generic /Special/ requirement</t>
  </si>
  <si>
    <t>Improve the Avg Productivity of Kiln per Month from 41.18 ton  to 45 ton for Kiln#1</t>
  </si>
  <si>
    <t>Improve the Avg Productivity of Kiln per day 3.83 ton/hr  to 4 ton/hr for Kiln#1</t>
  </si>
  <si>
    <t>Improve the Avg Productivity of Kiln per day 3.90 ton/hr  to 4 ton/hr for Kiln#2</t>
  </si>
  <si>
    <t>Improve the Avg Productivity of Kiln per day 3.76 ton/hr  to 4 ton/hr for Kiln#3</t>
  </si>
  <si>
    <t>Improve the Avg Productivity of Kiln per day 3.63 ton/hr  to 4 ton/hr for Kiln#4</t>
  </si>
  <si>
    <t>Inroducing DFSS</t>
  </si>
  <si>
    <t>MGAP for company</t>
  </si>
  <si>
    <t>Type of New</t>
  </si>
  <si>
    <t>DFSS issue hopper</t>
  </si>
  <si>
    <t>Define phase of DFSS</t>
  </si>
  <si>
    <t>Project charter</t>
  </si>
  <si>
    <t>Surrogate Selection</t>
  </si>
  <si>
    <t>VoS &amp; Risk mitigation plan</t>
  </si>
  <si>
    <t>ER Layer</t>
  </si>
  <si>
    <t>E -CTQ Dashboard</t>
  </si>
  <si>
    <t>Product life cycle member identification</t>
  </si>
  <si>
    <t>DI pipe</t>
  </si>
  <si>
    <t>PIG iron</t>
  </si>
  <si>
    <t>LCFC</t>
  </si>
  <si>
    <t>Runner Scrap</t>
  </si>
  <si>
    <t>DI Slag</t>
  </si>
  <si>
    <t>Rejected pipe</t>
  </si>
  <si>
    <t>Granulated slag</t>
  </si>
  <si>
    <t>Slag bolder</t>
  </si>
  <si>
    <t xml:space="preserve">Runner dust </t>
  </si>
  <si>
    <t>Core sand</t>
  </si>
  <si>
    <t>Cutting DI pipe dust</t>
  </si>
  <si>
    <t>BF Gas</t>
  </si>
  <si>
    <t>By product</t>
  </si>
  <si>
    <t>Zn Cut wire &amp; dust</t>
  </si>
  <si>
    <t xml:space="preserve">B2 </t>
  </si>
  <si>
    <t>B4</t>
  </si>
  <si>
    <t>B3</t>
  </si>
  <si>
    <t>B4.01</t>
  </si>
  <si>
    <t>B4.02</t>
  </si>
  <si>
    <t>B4.03</t>
  </si>
  <si>
    <t>B4.04</t>
  </si>
  <si>
    <t>B4.05</t>
  </si>
  <si>
    <t>B4.06</t>
  </si>
  <si>
    <t>B4.07</t>
  </si>
  <si>
    <t>B4.08</t>
  </si>
  <si>
    <t>B4.09</t>
  </si>
  <si>
    <t>B4.10</t>
  </si>
  <si>
    <t>2026-27</t>
  </si>
  <si>
    <t>value</t>
  </si>
  <si>
    <t>MT</t>
  </si>
  <si>
    <t>cr</t>
  </si>
  <si>
    <t>Current year</t>
  </si>
  <si>
    <t>2025-26</t>
  </si>
  <si>
    <t>2024-25</t>
  </si>
  <si>
    <t>2027-28</t>
  </si>
  <si>
    <t>ABP (Annual Business plan)</t>
  </si>
  <si>
    <t>2028-29</t>
  </si>
  <si>
    <t>2029-30</t>
  </si>
  <si>
    <t>SBP(strategic Business plan)</t>
  </si>
  <si>
    <t>2030-35</t>
  </si>
  <si>
    <t>2035-40</t>
  </si>
  <si>
    <t>2040-50</t>
  </si>
  <si>
    <t>MGP(Multigenration plan)</t>
  </si>
  <si>
    <t>Mid term</t>
  </si>
  <si>
    <t>Long term</t>
  </si>
  <si>
    <t>Short term</t>
  </si>
  <si>
    <t>B1.01</t>
  </si>
  <si>
    <t>B1.02</t>
  </si>
  <si>
    <t>B1.03</t>
  </si>
  <si>
    <t>B1.04</t>
  </si>
  <si>
    <t>B1.05</t>
  </si>
  <si>
    <t>B1.06</t>
  </si>
  <si>
    <t>B1.07</t>
  </si>
  <si>
    <t>B1.08</t>
  </si>
  <si>
    <t>B1.09</t>
  </si>
  <si>
    <t>B1.10</t>
  </si>
  <si>
    <t>B1.11</t>
  </si>
  <si>
    <t>B1.12</t>
  </si>
  <si>
    <t>B1.13</t>
  </si>
  <si>
    <t>B1.14</t>
  </si>
  <si>
    <t>B1.15</t>
  </si>
  <si>
    <t>B1.16</t>
  </si>
  <si>
    <t>B1.17</t>
  </si>
  <si>
    <t>MGPP(Multigeneration product Plan)</t>
  </si>
  <si>
    <t>MGMT(Multigeneration market trends)</t>
  </si>
  <si>
    <t>MGPP(Multigeneration Process Plan)</t>
  </si>
  <si>
    <t>MGTP(Multigeneration Technology platform</t>
  </si>
  <si>
    <t>2.04.01</t>
  </si>
  <si>
    <t>2.04.02</t>
  </si>
  <si>
    <t>Product Technology</t>
  </si>
  <si>
    <t>Process Technology</t>
  </si>
  <si>
    <t>Critical Assumptions</t>
  </si>
  <si>
    <t>New to the world</t>
  </si>
  <si>
    <t>New to the Company</t>
  </si>
  <si>
    <t>New to the product line</t>
  </si>
  <si>
    <t>New to the product family</t>
  </si>
  <si>
    <t>New to the Brand of the same product line for the same product family</t>
  </si>
  <si>
    <t>Same product with more alternative application</t>
  </si>
  <si>
    <t>Same product with reduced cost</t>
  </si>
  <si>
    <t>New product with small-small added features</t>
  </si>
  <si>
    <t>Market</t>
  </si>
  <si>
    <t>A.01</t>
  </si>
  <si>
    <t>A.02</t>
  </si>
  <si>
    <t>Finance</t>
  </si>
  <si>
    <t>A.03</t>
  </si>
  <si>
    <t>A.04</t>
  </si>
  <si>
    <t>Competitors</t>
  </si>
  <si>
    <t>A.01.01</t>
  </si>
  <si>
    <t>Government</t>
  </si>
  <si>
    <t>No of Customer</t>
  </si>
  <si>
    <t>A.01.02</t>
  </si>
  <si>
    <t>ARPU(Avg Revenue of per unit of per Customers per year</t>
  </si>
  <si>
    <t>A.03.01</t>
  </si>
  <si>
    <t xml:space="preserve"> No of Competitors</t>
  </si>
  <si>
    <t>A.03.02</t>
  </si>
  <si>
    <t>Market share of all competitors</t>
  </si>
  <si>
    <t>A.03.01A</t>
  </si>
  <si>
    <t>Competitor 1------</t>
  </si>
  <si>
    <t>A.04.01</t>
  </si>
  <si>
    <t>A.02.01</t>
  </si>
  <si>
    <t>A.02.02</t>
  </si>
  <si>
    <t>A.02.03</t>
  </si>
  <si>
    <t>Revenue</t>
  </si>
  <si>
    <t>Expenditure</t>
  </si>
  <si>
    <t>Tax</t>
  </si>
  <si>
    <t>IPR</t>
  </si>
  <si>
    <t>Trade mark</t>
  </si>
  <si>
    <t>Copy right</t>
  </si>
  <si>
    <t>A.04.02</t>
  </si>
  <si>
    <t>A.04.01.01</t>
  </si>
  <si>
    <t>A.04.01.02</t>
  </si>
  <si>
    <t>A.04.01.03</t>
  </si>
  <si>
    <t>A.04.01.04</t>
  </si>
  <si>
    <t xml:space="preserve">Paper </t>
  </si>
  <si>
    <t>Patent</t>
  </si>
  <si>
    <t>Municipality law</t>
  </si>
  <si>
    <t>A.04.03</t>
  </si>
  <si>
    <t>State law</t>
  </si>
  <si>
    <t>A.04.04</t>
  </si>
  <si>
    <t>Central law</t>
  </si>
  <si>
    <t>A.04.05</t>
  </si>
  <si>
    <t>A.04.06</t>
  </si>
  <si>
    <t>Importing country law</t>
  </si>
  <si>
    <t>Exporting country law</t>
  </si>
  <si>
    <t>Labours law</t>
  </si>
  <si>
    <t>A.04.07</t>
  </si>
  <si>
    <t>Company Act</t>
  </si>
  <si>
    <t>A.04.08</t>
  </si>
  <si>
    <t>C</t>
  </si>
  <si>
    <t>C.01</t>
  </si>
  <si>
    <t>C.02</t>
  </si>
  <si>
    <t>C.03</t>
  </si>
  <si>
    <t>C.01-01</t>
  </si>
  <si>
    <t>Capacity</t>
  </si>
  <si>
    <t>C.01-02</t>
  </si>
  <si>
    <t>Product in field with customers</t>
  </si>
  <si>
    <t>Disposition of product against Suffocation &amp; Proposition of Customer &amp; Government Condition</t>
  </si>
  <si>
    <t>Manufacturer to Customer-out bound supply chain-logistics</t>
  </si>
  <si>
    <t>Manufacturer -Received of Raw material to storage of Finished goods</t>
  </si>
  <si>
    <t>In Bound Supply chain-Sourcing , input ,requirement or concerns</t>
  </si>
  <si>
    <t>DLC (Design life Cycle ) Members</t>
  </si>
  <si>
    <t>TLC (Technology life cycle) Members</t>
  </si>
  <si>
    <t>8.06.01</t>
  </si>
  <si>
    <t>8.06.02</t>
  </si>
  <si>
    <t>8.06.03</t>
  </si>
  <si>
    <t>8.06.04</t>
  </si>
  <si>
    <t>8.06.05</t>
  </si>
  <si>
    <t>8.06.06</t>
  </si>
  <si>
    <t>8.06.07</t>
  </si>
  <si>
    <t>To reduce the frequency of downtime per month in M/C 5 from 56 to 46 respectively i.e increase MTBF without increase MTTR.</t>
  </si>
  <si>
    <t>To reduce the frequency of downtime per month in M/C 6 from 54 to 44 respectively i.e increase MTBF without increase MTTR.</t>
  </si>
  <si>
    <t>To reduce the frequency of downtime per month in M/C 7A from 81 to 60 respectively i.e increase MTBF without increase MTTR.</t>
  </si>
  <si>
    <t>To reduce the frequency of downtime per month in M/C  9 from 74 to 50 respectively i.e increase MTBF without increase MTTR.</t>
  </si>
  <si>
    <t>Increase the Steam Generation rate of 85 TPH Boiler per month from 31048 to 548972  ton/Month</t>
  </si>
  <si>
    <t>Reduce the Ash % in Coke of Coke oven plant per month from 12.92 to &lt;12.0 .</t>
  </si>
  <si>
    <t>Reducing LWP per month from 3.10 to &lt;2%.</t>
  </si>
  <si>
    <t>Nov'25-Dec'25</t>
  </si>
  <si>
    <t>Reduce the Laboratory Operational cost per heat per day from 1392 to &lt;1100.</t>
  </si>
  <si>
    <t>Increase the Avg Production of MBF2 per day from 575 Ton to &gt; 650 Ton.</t>
  </si>
  <si>
    <t>Ton/day</t>
  </si>
  <si>
    <t>Increased Avg Steam generation per day from 162.8 ton  to 180 ton  K#1</t>
  </si>
  <si>
    <t>Increased Avg Steam generation per day from 162.8 ton  to 180 ton  K#2</t>
  </si>
  <si>
    <t>Increased Avg Steam generation per day from 172.28  ton  to 180 ton  K#3</t>
  </si>
  <si>
    <t>Increased Avg Steam generation per day from 180.68 ton  to 185 ton  K#4</t>
  </si>
  <si>
    <t>1.Target to be check
2. insert comment
3. Legacy coal to constrained to used and showing the trends
4. Last two years of Raining season data to be compare</t>
  </si>
  <si>
    <t>Target Date</t>
  </si>
  <si>
    <t>1. Required work will be completed in Up-coming capital shutdown.</t>
  </si>
  <si>
    <t>1.Inser comment
2. Issue hopper</t>
  </si>
  <si>
    <t>Review</t>
  </si>
  <si>
    <t>Maintain A Machine</t>
  </si>
  <si>
    <t xml:space="preserve">P1 </t>
  </si>
  <si>
    <t>Select Machine</t>
  </si>
  <si>
    <t>Use the Machine</t>
  </si>
  <si>
    <t>Install &amp; commision the Machine</t>
  </si>
  <si>
    <t>Maintain the  Machine</t>
  </si>
  <si>
    <t>Assess the Helth of the Machine</t>
  </si>
  <si>
    <t>Modify the machine</t>
  </si>
  <si>
    <t>1.Insert comment
2. Issue hopper
3. Review Productivity exclude plan shutdown
4. Power failure Action Plan
5. Monsoon Production losses(compare last year data &amp; change the target</t>
  </si>
  <si>
    <t>Production volume of sinter plant-1</t>
  </si>
  <si>
    <t>1.Inser comment
2. Issue hopper
3. Change the Target due to low production</t>
  </si>
  <si>
    <t>1.Data to be change
2. Issu hopper</t>
  </si>
  <si>
    <t>1.Insert comment</t>
  </si>
  <si>
    <t>1.Insert comment
2 Issue hopper</t>
  </si>
  <si>
    <t>1. All furnace</t>
  </si>
  <si>
    <t>1.Insert comment 
2. Issue hopper &amp; add the project</t>
  </si>
  <si>
    <t>1.Over time
2.Man power requirement per ton
3.</t>
  </si>
  <si>
    <t>1.No of Sample 
2. Deviation</t>
  </si>
  <si>
    <t>1. Non conformance (External)
2.Customer complain
3.Add project</t>
  </si>
  <si>
    <t xml:space="preserve">New product  </t>
  </si>
  <si>
    <t>New service</t>
  </si>
  <si>
    <t>New process</t>
  </si>
  <si>
    <t>New system</t>
  </si>
  <si>
    <t>New Software</t>
  </si>
  <si>
    <t>1.03.01</t>
  </si>
  <si>
    <t>1.03.02</t>
  </si>
  <si>
    <t>Manufacturing process</t>
  </si>
  <si>
    <t>Service provision</t>
  </si>
  <si>
    <t>New competency</t>
  </si>
  <si>
    <t xml:space="preserve">Product </t>
  </si>
  <si>
    <t>MCFC</t>
  </si>
  <si>
    <t>TMT Bar</t>
  </si>
  <si>
    <t>Billets</t>
  </si>
  <si>
    <t>Nail</t>
  </si>
  <si>
    <t xml:space="preserve">Coke </t>
  </si>
  <si>
    <t>MS rod</t>
  </si>
  <si>
    <t>OPVC</t>
  </si>
  <si>
    <t>By Product</t>
  </si>
  <si>
    <t>G- slag</t>
  </si>
  <si>
    <t>Hopper slag</t>
  </si>
  <si>
    <t>Runner scrap</t>
  </si>
  <si>
    <t>Rejection pipe</t>
  </si>
  <si>
    <t>1998-99</t>
  </si>
  <si>
    <t>1999-2000</t>
  </si>
  <si>
    <t>2000-2001</t>
  </si>
  <si>
    <t>2001-2002</t>
  </si>
  <si>
    <t>2002-2003</t>
  </si>
  <si>
    <t>2003-2004</t>
  </si>
  <si>
    <t>2004-2005</t>
  </si>
  <si>
    <t>Volume</t>
  </si>
  <si>
    <t>Value</t>
  </si>
  <si>
    <t>Cr.</t>
  </si>
  <si>
    <t>DIP</t>
  </si>
  <si>
    <t>A01</t>
  </si>
  <si>
    <t>A01.01</t>
  </si>
  <si>
    <t>A01.02</t>
  </si>
  <si>
    <t>A02</t>
  </si>
  <si>
    <t>A04</t>
  </si>
  <si>
    <t>A02.01</t>
  </si>
  <si>
    <t>Ferro Alloys</t>
  </si>
  <si>
    <t>A02.02</t>
  </si>
  <si>
    <t>`</t>
  </si>
  <si>
    <t>2005-06</t>
  </si>
  <si>
    <t>2006-07</t>
  </si>
  <si>
    <t>2007-08</t>
  </si>
  <si>
    <t>2008-09</t>
  </si>
  <si>
    <t>2009-10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</si>
  <si>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</si>
  <si>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</si>
  <si>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</si>
  <si>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</si>
  <si>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</si>
  <si>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</si>
  <si>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</si>
  <si>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</si>
  <si>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</si>
  <si>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</si>
  <si>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</si>
  <si>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</si>
  <si>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</si>
  <si>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2030-31</t>
  </si>
  <si>
    <t>2031-32</t>
  </si>
  <si>
    <t>2032-33</t>
  </si>
  <si>
    <t>2033-34</t>
  </si>
  <si>
    <t>2034-35</t>
  </si>
  <si>
    <t>2035-36</t>
  </si>
  <si>
    <t>2036-37</t>
  </si>
  <si>
    <t>2037-38</t>
  </si>
  <si>
    <t>2038-39</t>
  </si>
  <si>
    <t>2039-40</t>
  </si>
  <si>
    <t>2010-11</t>
  </si>
  <si>
    <t>ABP</t>
  </si>
  <si>
    <t>SBP</t>
  </si>
  <si>
    <t>MGP</t>
  </si>
  <si>
    <t>short term</t>
  </si>
  <si>
    <t>A05</t>
  </si>
  <si>
    <t>Unit-II</t>
  </si>
  <si>
    <t>Unit-V</t>
  </si>
  <si>
    <t>B01</t>
  </si>
  <si>
    <t>B02</t>
  </si>
  <si>
    <t>B03</t>
  </si>
  <si>
    <t>B04</t>
  </si>
  <si>
    <t>B05</t>
  </si>
  <si>
    <t>Technology Platform</t>
  </si>
  <si>
    <t>C01</t>
  </si>
  <si>
    <t>C02</t>
  </si>
  <si>
    <t>D</t>
  </si>
  <si>
    <t>Critical Assumption</t>
  </si>
  <si>
    <t>M</t>
  </si>
  <si>
    <t>No of Customers</t>
  </si>
  <si>
    <t>Market share (%)</t>
  </si>
  <si>
    <t>No of Competitors</t>
  </si>
  <si>
    <t>Competitor-1</t>
  </si>
  <si>
    <t>Competitor-2</t>
  </si>
  <si>
    <t>Competitor-3</t>
  </si>
  <si>
    <t>Competitor-4</t>
  </si>
  <si>
    <t>Avg Revenue Per unit of Customer per year</t>
  </si>
  <si>
    <t>Investment</t>
  </si>
  <si>
    <t>Profits</t>
  </si>
  <si>
    <t>No of patent</t>
  </si>
  <si>
    <t>M01</t>
  </si>
  <si>
    <t>M02</t>
  </si>
  <si>
    <t>M03</t>
  </si>
  <si>
    <t>M04</t>
  </si>
  <si>
    <t>M03.01</t>
  </si>
  <si>
    <t>M03.02</t>
  </si>
  <si>
    <t>M03.03</t>
  </si>
  <si>
    <t>M03.04</t>
  </si>
  <si>
    <t>M05</t>
  </si>
  <si>
    <t>M06</t>
  </si>
  <si>
    <t>M07</t>
  </si>
  <si>
    <t>M08</t>
  </si>
  <si>
    <t>M09</t>
  </si>
  <si>
    <t>Single chamber Restraint joint</t>
  </si>
  <si>
    <t>Surrogate product</t>
  </si>
  <si>
    <t>New-Double chamber Restraint Joint</t>
  </si>
  <si>
    <t>Socket spigot Push on joint</t>
  </si>
  <si>
    <t>Product used environment</t>
  </si>
  <si>
    <t>who take the decision to purchase the product from customer family</t>
  </si>
  <si>
    <t>A member of  a Customer family to take a decision how the product deliver to customer facility</t>
  </si>
  <si>
    <t>Who used the product</t>
  </si>
  <si>
    <t>How to product to be Maintain</t>
  </si>
  <si>
    <t>spare part for maintain</t>
  </si>
  <si>
    <t xml:space="preserve">Servicing </t>
  </si>
  <si>
    <t>Representative person</t>
  </si>
  <si>
    <t>E-mail address</t>
  </si>
  <si>
    <t>Mob. No</t>
  </si>
  <si>
    <t>Concern</t>
  </si>
  <si>
    <t>Requirement</t>
  </si>
  <si>
    <t>8.07.01</t>
  </si>
  <si>
    <t>8.07.02</t>
  </si>
  <si>
    <t>Resale value</t>
  </si>
  <si>
    <t>8.07.01.01</t>
  </si>
  <si>
    <t>Re-cycle</t>
  </si>
  <si>
    <t>8.07.01.02</t>
  </si>
  <si>
    <t>Legality of disposition</t>
  </si>
  <si>
    <t>8.07.02.01</t>
  </si>
  <si>
    <t>8.05.01</t>
  </si>
  <si>
    <t>Finished goods stores</t>
  </si>
  <si>
    <t>8.05.02</t>
  </si>
  <si>
    <t>8.05.03</t>
  </si>
  <si>
    <t>Packaging</t>
  </si>
  <si>
    <t>Primary</t>
  </si>
  <si>
    <t>Secondary</t>
  </si>
  <si>
    <t>Tertiary</t>
  </si>
  <si>
    <t>Cargo</t>
  </si>
  <si>
    <t>8.05.02.01</t>
  </si>
  <si>
    <t>8.05.02.02</t>
  </si>
  <si>
    <t>8.05.02.03</t>
  </si>
  <si>
    <t>8.05.02.04</t>
  </si>
  <si>
    <t>Loading</t>
  </si>
  <si>
    <t>8.05.02.05</t>
  </si>
  <si>
    <t>8.05.04</t>
  </si>
  <si>
    <t>Unloading</t>
  </si>
  <si>
    <t>8.05.02.06</t>
  </si>
  <si>
    <t>Transport</t>
  </si>
  <si>
    <t>8.05.05</t>
  </si>
  <si>
    <t>8.05.03.01</t>
  </si>
  <si>
    <t>8.05.03.02</t>
  </si>
  <si>
    <t xml:space="preserve">Surface </t>
  </si>
  <si>
    <t>water</t>
  </si>
  <si>
    <t>Air</t>
  </si>
  <si>
    <t>8.05.03.03</t>
  </si>
  <si>
    <t>8.05.03.04</t>
  </si>
  <si>
    <t>Combination of all</t>
  </si>
  <si>
    <t>8.05.03.01.01</t>
  </si>
  <si>
    <t>Truck</t>
  </si>
  <si>
    <t>8.05.03.01.02</t>
  </si>
  <si>
    <t>Freight insurance</t>
  </si>
  <si>
    <t>8.05.03.01.03</t>
  </si>
  <si>
    <t>Road</t>
  </si>
  <si>
    <t>8.05.03.01.04</t>
  </si>
  <si>
    <t>Rail</t>
  </si>
  <si>
    <t>8.05.03.02.01</t>
  </si>
  <si>
    <t>8.05.03.02.02</t>
  </si>
  <si>
    <t>8.05.03.02.03</t>
  </si>
  <si>
    <t>Ship</t>
  </si>
  <si>
    <t>Container</t>
  </si>
  <si>
    <t>Custom Clearance agency</t>
  </si>
  <si>
    <t>8.05.03.03.01</t>
  </si>
  <si>
    <t>8.05.03.03.02</t>
  </si>
  <si>
    <t>8.05.03.03.03</t>
  </si>
  <si>
    <t>Air line</t>
  </si>
  <si>
    <t xml:space="preserve">Agent </t>
  </si>
  <si>
    <t>8.05.03.03.04</t>
  </si>
  <si>
    <t>Storage at customer place</t>
  </si>
  <si>
    <t>8.05.06</t>
  </si>
  <si>
    <t>8.05.07</t>
  </si>
  <si>
    <t>Ducoment or information out bound supply chain</t>
  </si>
  <si>
    <t>Governments Law for out bound</t>
  </si>
  <si>
    <t xml:space="preserve">Marketing </t>
  </si>
  <si>
    <t>sales</t>
  </si>
  <si>
    <t>Orders</t>
  </si>
  <si>
    <t>R&amp;D if Required</t>
  </si>
  <si>
    <t xml:space="preserve">Expand capacity </t>
  </si>
  <si>
    <t>Product design</t>
  </si>
  <si>
    <t>Plan for RM (In bound supply chain)</t>
  </si>
  <si>
    <t>Man power</t>
  </si>
  <si>
    <t>Machine</t>
  </si>
  <si>
    <t>Utility</t>
  </si>
  <si>
    <t>Method</t>
  </si>
  <si>
    <t>Planning</t>
  </si>
  <si>
    <t>Full fill the Order</t>
  </si>
  <si>
    <t xml:space="preserve">Produce </t>
  </si>
  <si>
    <t>Finance , Product &amp; Services</t>
  </si>
  <si>
    <t>Deliver order</t>
  </si>
  <si>
    <t>Prodcut at customer End</t>
  </si>
  <si>
    <t>Collect Money</t>
  </si>
  <si>
    <t xml:space="preserve">Used of the product at Customer </t>
  </si>
  <si>
    <t>Customer feedback</t>
  </si>
  <si>
    <t>Support services</t>
  </si>
  <si>
    <t>Corporate</t>
  </si>
  <si>
    <t>HR</t>
  </si>
  <si>
    <t>Information Management system</t>
  </si>
  <si>
    <t>legal</t>
  </si>
  <si>
    <t>Specific Support services</t>
  </si>
  <si>
    <t>Generic support Services-</t>
  </si>
  <si>
    <t>RM, Manpower, Machine,Method, Utility</t>
  </si>
  <si>
    <t>13.01.01</t>
  </si>
  <si>
    <t>13.02.01</t>
  </si>
  <si>
    <t>13.02.02</t>
  </si>
  <si>
    <t>13.02.03</t>
  </si>
  <si>
    <t>13.02.04</t>
  </si>
  <si>
    <t>13.02.05</t>
  </si>
  <si>
    <t>13.02.06</t>
  </si>
  <si>
    <t>13.02.07</t>
  </si>
  <si>
    <t>IMS</t>
  </si>
  <si>
    <t>SHE&amp; F</t>
  </si>
  <si>
    <t>13.02.08</t>
  </si>
  <si>
    <t>For Surrogate</t>
  </si>
  <si>
    <t>Representative person or premises</t>
  </si>
  <si>
    <t>8.01.01</t>
  </si>
  <si>
    <t>8.01.02</t>
  </si>
  <si>
    <t>8.01.03</t>
  </si>
  <si>
    <t>8.01.04</t>
  </si>
  <si>
    <t>8.02.01</t>
  </si>
  <si>
    <t>8.02.02</t>
  </si>
  <si>
    <t>8.02.03</t>
  </si>
  <si>
    <t>Induction Hardening</t>
  </si>
  <si>
    <t xml:space="preserve">Strength </t>
  </si>
  <si>
    <t>weakness</t>
  </si>
  <si>
    <t>Additional expectation of new product</t>
  </si>
  <si>
    <t xml:space="preserve">Risk </t>
  </si>
  <si>
    <t>Reducing over all rejection of DIP from 9.9 % to 6.90 % .</t>
  </si>
  <si>
    <r>
      <t>Vo</t>
    </r>
    <r>
      <rPr>
        <u/>
        <sz val="10"/>
        <color theme="1"/>
        <rFont val="Calibri"/>
        <family val="2"/>
      </rPr>
      <t>lume</t>
    </r>
  </si>
  <si>
    <t>Reducing the average return fines of BQT plant per day from 17.76 % to &lt; 15 %.</t>
  </si>
  <si>
    <t>Oct-25 - Mar- 26</t>
  </si>
  <si>
    <t>Increase Avg steam of WHRB plant through coke Gas from 1480Ton/day to &gt;1704  Ton/day .</t>
  </si>
  <si>
    <t>Increase the Avg Productivity of MBF2 per day from 3.46 Ton/m3 to &gt;3.606 Ton/m3 .</t>
  </si>
  <si>
    <t>TPH</t>
  </si>
  <si>
    <t>Oct-24-Oct-25</t>
  </si>
  <si>
    <t>Increase  Avg BFG Boiler steam Generation  Per month from 31.4 TPH to &gt; 33 TPH.</t>
  </si>
  <si>
    <t>Increase coal Injection  Rate of Blast furnace 2  per day from 118 Kg/THM to 150Kg/THM.</t>
  </si>
  <si>
    <t xml:space="preserve"> </t>
  </si>
  <si>
    <t>Participants | Project Theme | Baseline Period, UOM &amp; Data | Target | Monthly Tracking (Jan–Sep) | Location &amp;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</si>
</sst>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%"/>
    <numFmt numFmtId="165" formatCode="#,##0.00;\(#,##0.00\);\-"/>
    <numFmt numFmtId="166" formatCode="0%;\(0%\);\-"/>
    <numFmt numFmtId="167" formatCode="#,##0;\(#,##0\);\-"/>
    <numFmt numFmtId="168" formatCode="#,##0.0;\(#,##0.0\);\-"/>
    <numFmt numFmtId="169" formatCode="#,##0.000;\(#,##0.000\);\-"/>
  </numFmts>
  <fonts count="50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b/>
      <sz val="9"/>
      <color rgb="FFFFFFFF"/>
      <name val="Arial"/>
      <family val="2"/>
    </font>
    <font>
      <b/>
      <sz val="20"/>
      <color rgb="FF1F3864"/>
      <name val="Arial"/>
      <family val="2"/>
    </font>
    <font>
      <b/>
      <sz val="20"/>
      <color rgb="FF2E7D32"/>
      <name val="Arial"/>
      <family val="2"/>
    </font>
    <font>
      <b/>
      <sz val="20"/>
      <color rgb="FF2E5AAC"/>
      <name val="Arial"/>
      <family val="2"/>
    </font>
    <font>
      <b/>
      <sz val="20"/>
      <color rgb="FFC0392B"/>
      <name val="Arial"/>
      <family val="2"/>
    </font>
    <font>
      <b/>
      <sz val="20"/>
      <color rgb="FF808080"/>
      <name val="Arial"/>
      <family val="2"/>
    </font>
    <font>
      <b/>
      <sz val="20"/>
      <color rgb="FFC97F0B"/>
      <name val="Arial"/>
      <family val="2"/>
    </font>
    <font>
      <sz val="1"/>
      <color rgb="FF000000"/>
      <name val="Arial"/>
      <family val="2"/>
    </font>
    <font>
      <b/>
      <sz val="11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2E7D32"/>
      <name val="Arial"/>
      <family val="2"/>
    </font>
    <font>
      <sz val="10"/>
      <color rgb="FF000000"/>
      <name val="Arial"/>
      <family val="2"/>
    </font>
    <font>
      <b/>
      <sz val="10"/>
      <color rgb="FF2E5AAC"/>
      <name val="Arial"/>
      <family val="2"/>
    </font>
    <font>
      <b/>
      <sz val="10"/>
      <color rgb="FFC0392B"/>
      <name val="Arial"/>
      <family val="2"/>
    </font>
    <font>
      <b/>
      <sz val="10"/>
      <color rgb="FF808080"/>
      <name val="Arial"/>
      <family val="2"/>
    </font>
    <font>
      <b/>
      <sz val="10"/>
      <color rgb="FF000000"/>
      <name val="Arial"/>
      <family val="2"/>
    </font>
    <font>
      <i/>
      <sz val="9"/>
      <color rgb="FF808080"/>
      <name val="Arial"/>
      <family val="2"/>
    </font>
    <font>
      <b/>
      <sz val="18"/>
      <color rgb="FFFFFFFF"/>
      <name val="Calibri"/>
      <family val="2"/>
      <charset val="1"/>
    </font>
    <font>
      <b/>
      <sz val="11"/>
      <color rgb="FFFFFFFF"/>
      <name val="Calibri"/>
      <family val="2"/>
    </font>
    <font>
      <b/>
      <sz val="10"/>
      <color rgb="FFFFFFFF"/>
      <name val="Calibri"/>
      <family val="2"/>
    </font>
    <font>
      <sz val="10"/>
      <color rgb="FF1A1A1A"/>
      <name val="Calibri"/>
      <family val="2"/>
    </font>
    <font>
      <sz val="10"/>
      <color rgb="FF1A1A1A"/>
      <name val="Calibri"/>
      <family val="2"/>
      <charset val="1"/>
    </font>
    <font>
      <b/>
      <sz val="10"/>
      <color rgb="FF1A1A1A"/>
      <name val="Calibri"/>
      <family val="2"/>
    </font>
    <font>
      <b/>
      <sz val="10"/>
      <name val="Calibri"/>
      <family val="2"/>
    </font>
    <font>
      <b/>
      <sz val="9"/>
      <color rgb="FF2E7D32"/>
      <name val="Calibri"/>
      <family val="2"/>
    </font>
    <font>
      <b/>
      <sz val="9"/>
      <color rgb="FFBF9000"/>
      <name val="Calibri"/>
      <family val="2"/>
    </font>
    <font>
      <b/>
      <sz val="9"/>
      <color rgb="FFC00000"/>
      <name val="Calibri"/>
      <family val="2"/>
    </font>
    <font>
      <b/>
      <i/>
      <sz val="10"/>
      <color rgb="FFFF0000"/>
      <name val="Calibri"/>
      <family val="2"/>
      <charset val="1"/>
    </font>
    <font>
      <b/>
      <sz val="14"/>
      <name val="Calibri"/>
      <family val="2"/>
      <charset val="1"/>
    </font>
    <font>
      <sz val="11"/>
      <color theme="3"/>
      <name val="Calibri"/>
      <family val="2"/>
      <charset val="1"/>
    </font>
    <font>
      <b/>
      <sz val="14"/>
      <color theme="0"/>
      <name val="Arial"/>
      <family val="2"/>
    </font>
    <font>
      <b/>
      <sz val="14"/>
      <color theme="2"/>
      <name val="Arial"/>
      <family val="2"/>
    </font>
    <font>
      <b/>
      <sz val="18"/>
      <name val="Calibri"/>
      <family val="2"/>
      <charset val="1"/>
    </font>
    <font>
      <b/>
      <i/>
      <sz val="14"/>
      <color rgb="FFC00000"/>
      <name val="Calibri"/>
      <family val="2"/>
      <charset val="1"/>
    </font>
    <font>
      <b/>
      <sz val="12"/>
      <color rgb="FFFF0000"/>
      <name val="Arial"/>
      <family val="2"/>
    </font>
    <font>
      <u/>
      <sz val="11"/>
      <color theme="10"/>
      <name val="Calibri"/>
      <family val="2"/>
      <charset val="1"/>
    </font>
    <font>
      <sz val="8"/>
      <name val="Calibri"/>
      <family val="2"/>
      <charset val="1"/>
    </font>
    <font>
      <sz val="10"/>
      <color rgb="FF1A1A1A"/>
      <name val="Calibri"/>
      <family val="2"/>
    </font>
    <font>
      <sz val="11"/>
      <color theme="1"/>
      <name val="Calibri"/>
      <family val="2"/>
      <charset val="1"/>
    </font>
    <font>
      <b/>
      <sz val="10"/>
      <color rgb="FF1A1A1A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0"/>
      <color theme="1"/>
      <name val="Calibri"/>
      <family val="2"/>
      <charset val="1"/>
    </font>
    <font>
      <u/>
      <sz val="10"/>
      <color theme="1"/>
      <name val="Calibri"/>
      <family val="2"/>
    </font>
    <font>
      <b/>
      <sz val="10"/>
      <color rgb="FF300404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1F3864"/>
        <bgColor rgb="FF2E5395"/>
      </patternFill>
    </fill>
    <fill>
      <patternFill patternType="solid">
        <fgColor rgb="FFF2F2F2"/>
        <bgColor rgb="FFE2F0D9"/>
      </patternFill>
    </fill>
    <fill>
      <patternFill patternType="solid">
        <fgColor rgb="FF2E7D32"/>
        <bgColor rgb="FF008000"/>
      </patternFill>
    </fill>
    <fill>
      <patternFill patternType="solid">
        <fgColor rgb="FF2E5AAC"/>
        <bgColor rgb="FF2E5395"/>
      </patternFill>
    </fill>
    <fill>
      <patternFill patternType="solid">
        <fgColor rgb="FFC0392B"/>
        <bgColor rgb="FF993366"/>
      </patternFill>
    </fill>
    <fill>
      <patternFill patternType="solid">
        <fgColor rgb="FF808080"/>
        <bgColor rgb="FF4F81BD"/>
      </patternFill>
    </fill>
    <fill>
      <patternFill patternType="solid">
        <fgColor rgb="FFC97F0B"/>
        <bgColor rgb="FFBF9000"/>
      </patternFill>
    </fill>
    <fill>
      <patternFill patternType="solid">
        <fgColor rgb="FFDCE6F1"/>
        <bgColor rgb="FFE6E0EC"/>
      </patternFill>
    </fill>
    <fill>
      <patternFill patternType="solid">
        <fgColor rgb="FFE2F0D9"/>
        <bgColor rgb="FFDCE6F1"/>
      </patternFill>
    </fill>
    <fill>
      <patternFill patternType="solid">
        <fgColor rgb="FFF8D7D3"/>
        <bgColor rgb="FFFFC7CE"/>
      </patternFill>
    </fill>
    <fill>
      <patternFill patternType="solid">
        <fgColor rgb="FFFCEACB"/>
        <bgColor rgb="FFF8D7D3"/>
      </patternFill>
    </fill>
    <fill>
      <patternFill patternType="solid">
        <fgColor rgb="FFFFFFFF"/>
        <bgColor rgb="FFF2F2F2"/>
      </patternFill>
    </fill>
    <fill>
      <patternFill patternType="solid">
        <fgColor theme="7" tint="0.79989013336588644"/>
        <bgColor rgb="FFDCE6F1"/>
      </patternFill>
    </fill>
    <fill>
      <patternFill patternType="solid">
        <fgColor rgb="FF2E5395"/>
        <bgColor rgb="FF2E5AAC"/>
      </patternFill>
    </fill>
    <fill>
      <patternFill patternType="solid">
        <fgColor rgb="FF4472C4"/>
        <bgColor rgb="FF4F81BD"/>
      </patternFill>
    </fill>
    <fill>
      <patternFill patternType="solid">
        <fgColor rgb="FFC6EFCE"/>
        <bgColor rgb="FFE2F0D9"/>
      </patternFill>
    </fill>
    <fill>
      <patternFill patternType="solid">
        <fgColor rgb="FFFFEB9C"/>
        <bgColor rgb="FFFCEACB"/>
      </patternFill>
    </fill>
    <fill>
      <patternFill patternType="solid">
        <fgColor rgb="FFFFC7CE"/>
        <bgColor rgb="FFF8D7D3"/>
      </patternFill>
    </fill>
    <fill>
      <patternFill patternType="solid">
        <fgColor theme="3"/>
        <bgColor rgb="FF2E5395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rgb="FFE2F0D9"/>
      </patternFill>
    </fill>
    <fill>
      <patternFill patternType="solid">
        <fgColor rgb="FF00B050"/>
        <bgColor rgb="FFE2F0D9"/>
      </patternFill>
    </fill>
    <fill>
      <patternFill patternType="solid">
        <fgColor rgb="FFFF0000"/>
        <bgColor rgb="FFE2F0D9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/>
        <bgColor rgb="FFE2F0D9"/>
      </patternFill>
    </fill>
    <fill>
      <patternFill patternType="solid">
        <fgColor theme="6" tint="0.39997558519241921"/>
        <bgColor rgb="FFE2F0D9"/>
      </patternFill>
    </fill>
    <fill>
      <patternFill patternType="solid">
        <fgColor theme="6"/>
        <bgColor rgb="FFE2F0D9"/>
      </patternFill>
    </fill>
    <fill>
      <patternFill patternType="solid">
        <fgColor theme="6"/>
        <bgColor indexed="64"/>
      </patternFill>
    </fill>
  </fills>
  <borders count="81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hair">
        <color auto="1"/>
      </bottom>
      <diagonal/>
    </border>
    <border>
      <left style="thin">
        <color rgb="FFB7B7B7"/>
      </left>
      <right style="thin">
        <color rgb="FFB7B7B7"/>
      </right>
      <top style="hair">
        <color auto="1"/>
      </top>
      <bottom style="hair">
        <color auto="1"/>
      </bottom>
      <diagonal/>
    </border>
    <border>
      <left style="thin">
        <color rgb="FFB7B7B7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rgb="FFB7B7B7"/>
      </right>
      <top style="hair">
        <color auto="1"/>
      </top>
      <bottom style="hair">
        <color auto="1"/>
      </bottom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 style="hair">
        <color auto="1"/>
      </top>
      <bottom/>
      <diagonal/>
    </border>
    <border>
      <left style="thin">
        <color rgb="FFB7B7B7"/>
      </left>
      <right style="thin">
        <color rgb="FFB7B7B7"/>
      </right>
      <top style="hair">
        <color auto="1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 style="hair">
        <color auto="1"/>
      </right>
      <top style="hair">
        <color auto="1"/>
      </top>
      <bottom/>
      <diagonal/>
    </border>
    <border>
      <left/>
      <right style="thin">
        <color rgb="FFB7B7B7"/>
      </right>
      <top style="hair">
        <color auto="1"/>
      </top>
      <bottom style="hair">
        <color auto="1"/>
      </bottom>
      <diagonal/>
    </border>
    <border>
      <left style="thin">
        <color rgb="FFB7B7B7"/>
      </left>
      <right style="thin">
        <color rgb="FFB7B7B7"/>
      </right>
      <top/>
      <bottom style="hair">
        <color auto="1"/>
      </bottom>
      <diagonal/>
    </border>
    <border>
      <left style="thin">
        <color rgb="FFB7B7B7"/>
      </left>
      <right style="hair">
        <color auto="1"/>
      </right>
      <top/>
      <bottom style="hair">
        <color auto="1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medium">
        <color auto="1"/>
      </left>
      <right style="thin">
        <color rgb="FFB7B7B7"/>
      </right>
      <top style="medium">
        <color auto="1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medium">
        <color auto="1"/>
      </top>
      <bottom style="thin">
        <color rgb="FFB7B7B7"/>
      </bottom>
      <diagonal/>
    </border>
    <border>
      <left style="thin">
        <color rgb="FFB7B7B7"/>
      </left>
      <right style="medium">
        <color auto="1"/>
      </right>
      <top style="medium">
        <color auto="1"/>
      </top>
      <bottom style="thin">
        <color rgb="FFB7B7B7"/>
      </bottom>
      <diagonal/>
    </border>
    <border>
      <left style="medium">
        <color auto="1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medium">
        <color auto="1"/>
      </right>
      <top style="thin">
        <color rgb="FFB7B7B7"/>
      </top>
      <bottom style="hair">
        <color auto="1"/>
      </bottom>
      <diagonal/>
    </border>
    <border>
      <left style="medium">
        <color auto="1"/>
      </left>
      <right style="thin">
        <color rgb="FFB7B7B7"/>
      </right>
      <top style="hair">
        <color auto="1"/>
      </top>
      <bottom style="hair">
        <color auto="1"/>
      </bottom>
      <diagonal/>
    </border>
    <border>
      <left style="thin">
        <color rgb="FFB7B7B7"/>
      </left>
      <right style="medium">
        <color auto="1"/>
      </right>
      <top/>
      <bottom/>
      <diagonal/>
    </border>
    <border>
      <left style="medium">
        <color auto="1"/>
      </left>
      <right style="thin">
        <color rgb="FFB7B7B7"/>
      </right>
      <top/>
      <bottom/>
      <diagonal/>
    </border>
    <border>
      <left style="thin">
        <color rgb="FFB7B7B7"/>
      </left>
      <right style="medium">
        <color auto="1"/>
      </right>
      <top style="hair">
        <color auto="1"/>
      </top>
      <bottom/>
      <diagonal/>
    </border>
    <border>
      <left style="thin">
        <color rgb="FFB7B7B7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rgb="FFB7B7B7"/>
      </left>
      <right style="medium">
        <color auto="1"/>
      </right>
      <top/>
      <bottom style="thin">
        <color rgb="FFB7B7B7"/>
      </bottom>
      <diagonal/>
    </border>
    <border>
      <left style="thin">
        <color rgb="FFB7B7B7"/>
      </left>
      <right style="medium">
        <color auto="1"/>
      </right>
      <top style="thin">
        <color rgb="FFB7B7B7"/>
      </top>
      <bottom style="thin">
        <color rgb="FFB7B7B7"/>
      </bottom>
      <diagonal/>
    </border>
    <border>
      <left style="medium">
        <color auto="1"/>
      </left>
      <right style="thin">
        <color rgb="FFB7B7B7"/>
      </right>
      <top style="hair">
        <color auto="1"/>
      </top>
      <bottom/>
      <diagonal/>
    </border>
    <border>
      <left style="medium">
        <color auto="1"/>
      </left>
      <right style="thin">
        <color rgb="FFB7B7B7"/>
      </right>
      <top/>
      <bottom style="thin">
        <color rgb="FFB7B7B7"/>
      </bottom>
      <diagonal/>
    </border>
    <border>
      <left style="medium">
        <color auto="1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medium">
        <color auto="1"/>
      </left>
      <right style="thin">
        <color rgb="FFB7B7B7"/>
      </right>
      <top style="thin">
        <color rgb="FFB7B7B7"/>
      </top>
      <bottom style="medium">
        <color auto="1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medium">
        <color auto="1"/>
      </bottom>
      <diagonal/>
    </border>
    <border>
      <left style="thin">
        <color rgb="FFB7B7B7"/>
      </left>
      <right style="medium">
        <color auto="1"/>
      </right>
      <top style="thin">
        <color rgb="FFB7B7B7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 style="thin">
        <color indexed="64"/>
      </right>
      <top/>
      <bottom/>
      <diagonal/>
    </border>
    <border>
      <left style="thin">
        <color rgb="FFB7B7B7"/>
      </left>
      <right style="thin">
        <color indexed="64"/>
      </right>
      <top style="thin">
        <color rgb="FFB7B7B7"/>
      </top>
      <bottom style="thin">
        <color rgb="FFB7B7B7"/>
      </bottom>
      <diagonal/>
    </border>
    <border>
      <left style="thin">
        <color indexed="64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indexed="64"/>
      </right>
      <top style="thin">
        <color rgb="FFB7B7B7"/>
      </top>
      <bottom style="hair">
        <color auto="1"/>
      </bottom>
      <diagonal/>
    </border>
    <border>
      <left style="thin">
        <color indexed="64"/>
      </left>
      <right style="thin">
        <color rgb="FFB7B7B7"/>
      </right>
      <top style="hair">
        <color auto="1"/>
      </top>
      <bottom style="hair">
        <color auto="1"/>
      </bottom>
      <diagonal/>
    </border>
    <border>
      <left style="thin">
        <color rgb="FFB7B7B7"/>
      </left>
      <right style="thin">
        <color indexed="64"/>
      </right>
      <top/>
      <bottom/>
      <diagonal/>
    </border>
    <border>
      <left style="thin">
        <color rgb="FFB7B7B7"/>
      </left>
      <right style="thin">
        <color indexed="64"/>
      </right>
      <top style="hair">
        <color auto="1"/>
      </top>
      <bottom/>
      <diagonal/>
    </border>
    <border>
      <left style="thin">
        <color rgb="FFB7B7B7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rgb="FFB7B7B7"/>
      </left>
      <right style="thin">
        <color indexed="64"/>
      </right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indexed="64"/>
      </bottom>
      <diagonal/>
    </border>
    <border>
      <left style="thin">
        <color rgb="FFB7B7B7"/>
      </left>
      <right style="thin">
        <color indexed="64"/>
      </right>
      <top style="thin">
        <color rgb="FFB7B7B7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B7B7B7"/>
      </right>
      <top/>
      <bottom style="hair">
        <color auto="1"/>
      </bottom>
      <diagonal/>
    </border>
    <border>
      <left style="thin">
        <color rgb="FFB7B7B7"/>
      </left>
      <right style="thin">
        <color indexed="64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B7B7B7"/>
      </right>
      <top/>
      <bottom style="hair">
        <color auto="1"/>
      </bottom>
      <diagonal/>
    </border>
    <border>
      <left style="medium">
        <color indexed="64"/>
      </left>
      <right/>
      <top style="thin">
        <color rgb="FFB7B7B7"/>
      </top>
      <bottom style="thin">
        <color rgb="FFB7B7B7"/>
      </bottom>
      <diagonal/>
    </border>
    <border>
      <left/>
      <right style="medium">
        <color indexed="64"/>
      </right>
      <top/>
      <bottom style="thin">
        <color rgb="FFB7B7B7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B7B7B7"/>
      </left>
      <right style="thin">
        <color indexed="64"/>
      </right>
      <top style="thin">
        <color rgb="FFB7B7B7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37" fillId="0" borderId="0" applyNumberFormat="0" applyFill="0" applyBorder="0" applyAlignment="0" applyProtection="0"/>
    <xf numFmtId="9" fontId="40" fillId="0" borderId="0" applyFont="0" applyFill="0" applyBorder="0" applyAlignment="0" applyProtection="0"/>
  </cellStyleXfs>
  <cellXfs count="420">
    <xf numFmtId="0" fontId="0" fillId="0" borderId="0" xfId="0"/>
    <xf numFmtId="0" fontId="11" fillId="5" borderId="1" xfId="0" applyFont="1" applyFill="1" applyBorder="1" applyAlignment="1">
      <alignment horizontal="center" vertical="center"/>
    </xf>
    <xf numFmtId="0" fontId="12" fillId="10" borderId="1" xfId="0" applyFont="1" applyFill="1" applyBorder="1" applyAlignment="1">
      <alignment horizontal="center" vertical="center"/>
    </xf>
    <xf numFmtId="0" fontId="13" fillId="13" borderId="1" xfId="0" applyFont="1" applyFill="1" applyBorder="1" applyAlignment="1">
      <alignment horizontal="left" vertical="center"/>
    </xf>
    <xf numFmtId="0" fontId="13" fillId="13" borderId="1" xfId="0" applyFont="1" applyFill="1" applyBorder="1" applyAlignment="1">
      <alignment horizontal="center" vertical="center"/>
    </xf>
    <xf numFmtId="0" fontId="14" fillId="9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left" vertical="center"/>
    </xf>
    <xf numFmtId="0" fontId="13" fillId="3" borderId="1" xfId="0" applyFont="1" applyFill="1" applyBorder="1" applyAlignment="1">
      <alignment horizontal="center" vertical="center"/>
    </xf>
    <xf numFmtId="0" fontId="15" fillId="11" borderId="1" xfId="0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  <xf numFmtId="164" fontId="17" fillId="13" borderId="1" xfId="0" applyNumberFormat="1" applyFont="1" applyFill="1" applyBorder="1" applyAlignment="1">
      <alignment horizontal="center" vertical="center"/>
    </xf>
    <xf numFmtId="164" fontId="17" fillId="3" borderId="1" xfId="0" applyNumberFormat="1" applyFont="1" applyFill="1" applyBorder="1" applyAlignment="1">
      <alignment horizontal="center" vertical="center"/>
    </xf>
    <xf numFmtId="1" fontId="17" fillId="13" borderId="1" xfId="0" applyNumberFormat="1" applyFont="1" applyFill="1" applyBorder="1" applyAlignment="1">
      <alignment horizontal="center" vertical="center"/>
    </xf>
    <xf numFmtId="1" fontId="17" fillId="3" borderId="1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21" fillId="16" borderId="2" xfId="0" applyFont="1" applyFill="1" applyBorder="1" applyAlignment="1">
      <alignment horizontal="center" vertical="center" wrapText="1"/>
    </xf>
    <xf numFmtId="0" fontId="22" fillId="0" borderId="3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left" vertical="center" wrapText="1"/>
    </xf>
    <xf numFmtId="0" fontId="22" fillId="0" borderId="3" xfId="0" applyFont="1" applyBorder="1" applyAlignment="1">
      <alignment horizontal="left" vertical="center" wrapText="1"/>
    </xf>
    <xf numFmtId="0" fontId="23" fillId="0" borderId="4" xfId="0" applyFont="1" applyBorder="1" applyAlignment="1">
      <alignment horizontal="left" vertical="center" wrapText="1"/>
    </xf>
    <xf numFmtId="0" fontId="22" fillId="0" borderId="4" xfId="0" applyFont="1" applyBorder="1" applyAlignment="1">
      <alignment horizontal="left" vertical="center" wrapText="1"/>
    </xf>
    <xf numFmtId="0" fontId="22" fillId="0" borderId="4" xfId="0" applyFont="1" applyBorder="1" applyAlignment="1">
      <alignment horizontal="center" vertical="center" wrapText="1"/>
    </xf>
    <xf numFmtId="165" fontId="22" fillId="0" borderId="3" xfId="0" applyNumberFormat="1" applyFont="1" applyBorder="1" applyAlignment="1">
      <alignment horizontal="center" vertical="center" wrapText="1"/>
    </xf>
    <xf numFmtId="165" fontId="22" fillId="0" borderId="4" xfId="0" applyNumberFormat="1" applyFont="1" applyBorder="1" applyAlignment="1">
      <alignment horizontal="center" vertical="center" wrapText="1"/>
    </xf>
    <xf numFmtId="165" fontId="24" fillId="0" borderId="4" xfId="0" applyNumberFormat="1" applyFont="1" applyBorder="1" applyAlignment="1">
      <alignment horizontal="center" vertical="center" wrapText="1"/>
    </xf>
    <xf numFmtId="166" fontId="24" fillId="0" borderId="4" xfId="0" applyNumberFormat="1" applyFont="1" applyBorder="1" applyAlignment="1">
      <alignment horizontal="center" vertical="center" wrapText="1"/>
    </xf>
    <xf numFmtId="0" fontId="22" fillId="3" borderId="5" xfId="0" applyFont="1" applyFill="1" applyBorder="1" applyAlignment="1">
      <alignment horizontal="center" vertical="center" wrapText="1"/>
    </xf>
    <xf numFmtId="0" fontId="22" fillId="3" borderId="6" xfId="0" applyFont="1" applyFill="1" applyBorder="1" applyAlignment="1">
      <alignment horizontal="center" vertical="center" wrapText="1"/>
    </xf>
    <xf numFmtId="0" fontId="22" fillId="3" borderId="7" xfId="0" applyFont="1" applyFill="1" applyBorder="1" applyAlignment="1">
      <alignment horizontal="center" vertical="center" wrapText="1"/>
    </xf>
    <xf numFmtId="0" fontId="22" fillId="3" borderId="2" xfId="0" applyFont="1" applyFill="1" applyBorder="1" applyAlignment="1">
      <alignment horizontal="left" vertical="center" wrapText="1"/>
    </xf>
    <xf numFmtId="0" fontId="22" fillId="3" borderId="5" xfId="0" applyFont="1" applyFill="1" applyBorder="1" applyAlignment="1">
      <alignment horizontal="left" vertical="center" wrapText="1"/>
    </xf>
    <xf numFmtId="0" fontId="23" fillId="3" borderId="8" xfId="0" applyFont="1" applyFill="1" applyBorder="1" applyAlignment="1">
      <alignment horizontal="left" vertical="center" wrapText="1"/>
    </xf>
    <xf numFmtId="0" fontId="22" fillId="3" borderId="8" xfId="0" applyFont="1" applyFill="1" applyBorder="1" applyAlignment="1">
      <alignment horizontal="left" vertical="center" wrapText="1"/>
    </xf>
    <xf numFmtId="0" fontId="22" fillId="3" borderId="8" xfId="0" applyFont="1" applyFill="1" applyBorder="1" applyAlignment="1">
      <alignment horizontal="center" vertical="center" wrapText="1"/>
    </xf>
    <xf numFmtId="0" fontId="22" fillId="3" borderId="9" xfId="0" applyFont="1" applyFill="1" applyBorder="1" applyAlignment="1">
      <alignment horizontal="left" vertical="center" wrapText="1"/>
    </xf>
    <xf numFmtId="165" fontId="22" fillId="3" borderId="9" xfId="0" applyNumberFormat="1" applyFont="1" applyFill="1" applyBorder="1" applyAlignment="1">
      <alignment horizontal="center" vertical="center" wrapText="1"/>
    </xf>
    <xf numFmtId="165" fontId="22" fillId="3" borderId="8" xfId="0" applyNumberFormat="1" applyFont="1" applyFill="1" applyBorder="1" applyAlignment="1">
      <alignment horizontal="center" vertical="center" wrapText="1"/>
    </xf>
    <xf numFmtId="165" fontId="22" fillId="3" borderId="5" xfId="0" applyNumberFormat="1" applyFont="1" applyFill="1" applyBorder="1" applyAlignment="1">
      <alignment horizontal="center" vertical="center" wrapText="1"/>
    </xf>
    <xf numFmtId="165" fontId="24" fillId="3" borderId="5" xfId="0" applyNumberFormat="1" applyFont="1" applyFill="1" applyBorder="1" applyAlignment="1">
      <alignment horizontal="center" vertical="center" wrapText="1"/>
    </xf>
    <xf numFmtId="166" fontId="24" fillId="3" borderId="5" xfId="0" applyNumberFormat="1" applyFont="1" applyFill="1" applyBorder="1" applyAlignment="1">
      <alignment horizontal="center" vertical="center" wrapText="1"/>
    </xf>
    <xf numFmtId="0" fontId="22" fillId="0" borderId="8" xfId="0" applyFont="1" applyBorder="1" applyAlignment="1">
      <alignment horizontal="center" vertical="center" wrapText="1"/>
    </xf>
    <xf numFmtId="0" fontId="22" fillId="0" borderId="5" xfId="0" applyFont="1" applyBorder="1" applyAlignment="1">
      <alignment horizontal="center" vertical="center" wrapText="1"/>
    </xf>
    <xf numFmtId="0" fontId="22" fillId="0" borderId="8" xfId="0" applyFont="1" applyBorder="1" applyAlignment="1">
      <alignment horizontal="left" vertical="center" wrapText="1"/>
    </xf>
    <xf numFmtId="0" fontId="22" fillId="0" borderId="9" xfId="0" applyFont="1" applyBorder="1" applyAlignment="1">
      <alignment horizontal="left" vertical="center" wrapText="1"/>
    </xf>
    <xf numFmtId="0" fontId="22" fillId="0" borderId="5" xfId="0" applyFont="1" applyBorder="1" applyAlignment="1">
      <alignment horizontal="left" vertical="center" wrapText="1"/>
    </xf>
    <xf numFmtId="165" fontId="22" fillId="0" borderId="5" xfId="0" applyNumberFormat="1" applyFont="1" applyBorder="1" applyAlignment="1">
      <alignment horizontal="center" vertical="center" wrapText="1"/>
    </xf>
    <xf numFmtId="165" fontId="22" fillId="0" borderId="9" xfId="0" applyNumberFormat="1" applyFont="1" applyBorder="1" applyAlignment="1">
      <alignment horizontal="center" vertical="center" wrapText="1"/>
    </xf>
    <xf numFmtId="165" fontId="22" fillId="0" borderId="8" xfId="0" applyNumberFormat="1" applyFont="1" applyBorder="1" applyAlignment="1">
      <alignment horizontal="center" vertical="center" wrapText="1"/>
    </xf>
    <xf numFmtId="165" fontId="24" fillId="0" borderId="8" xfId="0" applyNumberFormat="1" applyFont="1" applyBorder="1" applyAlignment="1">
      <alignment horizontal="center" vertical="center" wrapText="1"/>
    </xf>
    <xf numFmtId="166" fontId="24" fillId="0" borderId="8" xfId="0" applyNumberFormat="1" applyFont="1" applyBorder="1" applyAlignment="1">
      <alignment horizontal="center" vertical="center" wrapText="1"/>
    </xf>
    <xf numFmtId="0" fontId="22" fillId="0" borderId="9" xfId="0" applyFont="1" applyBorder="1" applyAlignment="1">
      <alignment horizontal="center" vertical="center" wrapText="1"/>
    </xf>
    <xf numFmtId="165" fontId="24" fillId="0" borderId="5" xfId="0" applyNumberFormat="1" applyFont="1" applyBorder="1" applyAlignment="1">
      <alignment horizontal="center" vertical="center" wrapText="1"/>
    </xf>
    <xf numFmtId="166" fontId="24" fillId="0" borderId="5" xfId="0" applyNumberFormat="1" applyFont="1" applyBorder="1" applyAlignment="1">
      <alignment horizontal="center" vertical="center" wrapText="1"/>
    </xf>
    <xf numFmtId="0" fontId="22" fillId="3" borderId="9" xfId="0" applyFont="1" applyFill="1" applyBorder="1" applyAlignment="1">
      <alignment horizontal="center" vertical="center" wrapText="1"/>
    </xf>
    <xf numFmtId="0" fontId="22" fillId="3" borderId="10" xfId="0" applyFont="1" applyFill="1" applyBorder="1" applyAlignment="1">
      <alignment horizontal="left" vertical="center" wrapText="1"/>
    </xf>
    <xf numFmtId="165" fontId="22" fillId="3" borderId="10" xfId="0" applyNumberFormat="1" applyFont="1" applyFill="1" applyBorder="1" applyAlignment="1">
      <alignment horizontal="center" vertical="center" wrapText="1"/>
    </xf>
    <xf numFmtId="165" fontId="22" fillId="3" borderId="11" xfId="0" applyNumberFormat="1" applyFont="1" applyFill="1" applyBorder="1" applyAlignment="1">
      <alignment horizontal="center" vertical="center" wrapText="1"/>
    </xf>
    <xf numFmtId="165" fontId="24" fillId="3" borderId="11" xfId="0" applyNumberFormat="1" applyFont="1" applyFill="1" applyBorder="1" applyAlignment="1">
      <alignment horizontal="center" vertical="center" wrapText="1"/>
    </xf>
    <xf numFmtId="166" fontId="24" fillId="3" borderId="11" xfId="0" applyNumberFormat="1" applyFont="1" applyFill="1" applyBorder="1" applyAlignment="1">
      <alignment horizontal="center" vertical="center" wrapText="1"/>
    </xf>
    <xf numFmtId="0" fontId="22" fillId="0" borderId="11" xfId="0" applyFont="1" applyBorder="1" applyAlignment="1">
      <alignment horizontal="left" vertical="center" wrapText="1"/>
    </xf>
    <xf numFmtId="0" fontId="22" fillId="0" borderId="11" xfId="0" applyFont="1" applyBorder="1" applyAlignment="1">
      <alignment horizontal="center" vertical="center" wrapText="1"/>
    </xf>
    <xf numFmtId="165" fontId="22" fillId="0" borderId="2" xfId="0" applyNumberFormat="1" applyFont="1" applyBorder="1" applyAlignment="1">
      <alignment horizontal="center" vertical="center" wrapText="1"/>
    </xf>
    <xf numFmtId="165" fontId="24" fillId="0" borderId="2" xfId="0" applyNumberFormat="1" applyFont="1" applyBorder="1" applyAlignment="1">
      <alignment horizontal="center" vertical="center" wrapText="1"/>
    </xf>
    <xf numFmtId="166" fontId="24" fillId="0" borderId="2" xfId="0" applyNumberFormat="1" applyFont="1" applyBorder="1" applyAlignment="1">
      <alignment horizontal="center" vertical="center" wrapText="1"/>
    </xf>
    <xf numFmtId="0" fontId="22" fillId="3" borderId="3" xfId="0" applyFont="1" applyFill="1" applyBorder="1" applyAlignment="1">
      <alignment horizontal="left" vertical="center" wrapText="1"/>
    </xf>
    <xf numFmtId="0" fontId="22" fillId="3" borderId="4" xfId="0" applyFont="1" applyFill="1" applyBorder="1" applyAlignment="1">
      <alignment horizontal="left" vertical="center" wrapText="1"/>
    </xf>
    <xf numFmtId="0" fontId="22" fillId="3" borderId="3" xfId="0" applyFont="1" applyFill="1" applyBorder="1" applyAlignment="1">
      <alignment horizontal="center" vertical="center" wrapText="1"/>
    </xf>
    <xf numFmtId="167" fontId="22" fillId="3" borderId="3" xfId="0" applyNumberFormat="1" applyFont="1" applyFill="1" applyBorder="1" applyAlignment="1">
      <alignment horizontal="center" vertical="center" wrapText="1"/>
    </xf>
    <xf numFmtId="167" fontId="22" fillId="3" borderId="5" xfId="0" applyNumberFormat="1" applyFont="1" applyFill="1" applyBorder="1" applyAlignment="1">
      <alignment horizontal="center" vertical="center" wrapText="1"/>
    </xf>
    <xf numFmtId="167" fontId="22" fillId="3" borderId="11" xfId="0" applyNumberFormat="1" applyFont="1" applyFill="1" applyBorder="1" applyAlignment="1">
      <alignment horizontal="center" vertical="center" wrapText="1"/>
    </xf>
    <xf numFmtId="167" fontId="22" fillId="3" borderId="8" xfId="0" applyNumberFormat="1" applyFont="1" applyFill="1" applyBorder="1" applyAlignment="1">
      <alignment horizontal="center" vertical="center" wrapText="1"/>
    </xf>
    <xf numFmtId="167" fontId="24" fillId="3" borderId="3" xfId="0" applyNumberFormat="1" applyFont="1" applyFill="1" applyBorder="1" applyAlignment="1">
      <alignment horizontal="center" vertical="center" wrapText="1"/>
    </xf>
    <xf numFmtId="166" fontId="24" fillId="3" borderId="4" xfId="0" applyNumberFormat="1" applyFont="1" applyFill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 wrapText="1"/>
    </xf>
    <xf numFmtId="0" fontId="22" fillId="0" borderId="13" xfId="0" applyFont="1" applyBorder="1" applyAlignment="1">
      <alignment horizontal="center" vertical="center" wrapText="1"/>
    </xf>
    <xf numFmtId="165" fontId="24" fillId="0" borderId="9" xfId="0" applyNumberFormat="1" applyFont="1" applyBorder="1" applyAlignment="1">
      <alignment horizontal="center" vertical="center" wrapText="1"/>
    </xf>
    <xf numFmtId="166" fontId="24" fillId="3" borderId="8" xfId="0" applyNumberFormat="1" applyFont="1" applyFill="1" applyBorder="1" applyAlignment="1">
      <alignment horizontal="center" vertical="center" wrapText="1"/>
    </xf>
    <xf numFmtId="0" fontId="22" fillId="0" borderId="10" xfId="0" applyFont="1" applyBorder="1" applyAlignment="1">
      <alignment horizontal="left" vertical="center" wrapText="1"/>
    </xf>
    <xf numFmtId="0" fontId="22" fillId="0" borderId="6" xfId="0" applyFont="1" applyBorder="1" applyAlignment="1">
      <alignment horizontal="left" vertical="center" wrapText="1"/>
    </xf>
    <xf numFmtId="0" fontId="22" fillId="0" borderId="13" xfId="0" applyFont="1" applyBorder="1" applyAlignment="1">
      <alignment horizontal="left" vertical="center" wrapText="1"/>
    </xf>
    <xf numFmtId="0" fontId="22" fillId="3" borderId="14" xfId="0" applyFont="1" applyFill="1" applyBorder="1" applyAlignment="1">
      <alignment horizontal="center" vertical="center" wrapText="1"/>
    </xf>
    <xf numFmtId="0" fontId="22" fillId="3" borderId="15" xfId="0" applyFont="1" applyFill="1" applyBorder="1" applyAlignment="1">
      <alignment horizontal="left" vertical="center" wrapText="1"/>
    </xf>
    <xf numFmtId="0" fontId="22" fillId="3" borderId="16" xfId="0" applyFont="1" applyFill="1" applyBorder="1" applyAlignment="1">
      <alignment horizontal="left" vertical="center" wrapText="1"/>
    </xf>
    <xf numFmtId="0" fontId="22" fillId="3" borderId="10" xfId="0" applyFont="1" applyFill="1" applyBorder="1" applyAlignment="1">
      <alignment horizontal="center" vertical="center" wrapText="1"/>
    </xf>
    <xf numFmtId="165" fontId="24" fillId="3" borderId="10" xfId="0" applyNumberFormat="1" applyFont="1" applyFill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3" borderId="2" xfId="0" applyFont="1" applyFill="1" applyBorder="1" applyAlignment="1">
      <alignment horizontal="center" vertical="center" wrapText="1"/>
    </xf>
    <xf numFmtId="165" fontId="22" fillId="3" borderId="2" xfId="0" applyNumberFormat="1" applyFont="1" applyFill="1" applyBorder="1" applyAlignment="1">
      <alignment horizontal="center" vertical="center" wrapText="1"/>
    </xf>
    <xf numFmtId="165" fontId="24" fillId="3" borderId="2" xfId="0" applyNumberFormat="1" applyFont="1" applyFill="1" applyBorder="1" applyAlignment="1">
      <alignment horizontal="center" vertical="center" wrapText="1"/>
    </xf>
    <xf numFmtId="166" fontId="24" fillId="3" borderId="2" xfId="0" applyNumberFormat="1" applyFont="1" applyFill="1" applyBorder="1" applyAlignment="1">
      <alignment horizontal="center" vertical="center" wrapText="1"/>
    </xf>
    <xf numFmtId="0" fontId="23" fillId="0" borderId="2" xfId="0" applyFont="1" applyBorder="1" applyAlignment="1">
      <alignment horizontal="left" vertical="center" wrapText="1"/>
    </xf>
    <xf numFmtId="167" fontId="22" fillId="3" borderId="2" xfId="0" applyNumberFormat="1" applyFont="1" applyFill="1" applyBorder="1" applyAlignment="1">
      <alignment horizontal="center" vertical="center" wrapText="1"/>
    </xf>
    <xf numFmtId="167" fontId="24" fillId="3" borderId="2" xfId="0" applyNumberFormat="1" applyFont="1" applyFill="1" applyBorder="1" applyAlignment="1">
      <alignment horizontal="center" vertical="center" wrapText="1"/>
    </xf>
    <xf numFmtId="167" fontId="22" fillId="0" borderId="2" xfId="0" applyNumberFormat="1" applyFont="1" applyBorder="1" applyAlignment="1">
      <alignment horizontal="center" vertical="center" wrapText="1"/>
    </xf>
    <xf numFmtId="167" fontId="24" fillId="0" borderId="2" xfId="0" applyNumberFormat="1" applyFont="1" applyBorder="1" applyAlignment="1">
      <alignment horizontal="center" vertical="center" wrapText="1"/>
    </xf>
    <xf numFmtId="0" fontId="23" fillId="3" borderId="2" xfId="0" applyFont="1" applyFill="1" applyBorder="1" applyAlignment="1">
      <alignment horizontal="left" vertical="center" wrapText="1"/>
    </xf>
    <xf numFmtId="0" fontId="23" fillId="0" borderId="2" xfId="0" applyFont="1" applyBorder="1" applyAlignment="1">
      <alignment horizontal="center" vertical="center" wrapText="1"/>
    </xf>
    <xf numFmtId="168" fontId="22" fillId="0" borderId="2" xfId="0" applyNumberFormat="1" applyFont="1" applyBorder="1" applyAlignment="1">
      <alignment horizontal="center" vertical="center" wrapText="1"/>
    </xf>
    <xf numFmtId="0" fontId="23" fillId="3" borderId="2" xfId="0" applyFont="1" applyFill="1" applyBorder="1" applyAlignment="1">
      <alignment horizontal="center" vertical="center" wrapText="1"/>
    </xf>
    <xf numFmtId="0" fontId="25" fillId="0" borderId="0" xfId="0" applyFont="1" applyAlignment="1">
      <alignment vertical="center" wrapText="1"/>
    </xf>
    <xf numFmtId="0" fontId="26" fillId="17" borderId="2" xfId="0" applyFont="1" applyFill="1" applyBorder="1" applyAlignment="1">
      <alignment horizontal="center" vertical="center" wrapText="1"/>
    </xf>
    <xf numFmtId="0" fontId="27" fillId="18" borderId="2" xfId="0" applyFont="1" applyFill="1" applyBorder="1" applyAlignment="1">
      <alignment horizontal="center" vertical="center" wrapText="1"/>
    </xf>
    <xf numFmtId="0" fontId="28" fillId="19" borderId="2" xfId="0" applyFont="1" applyFill="1" applyBorder="1" applyAlignment="1">
      <alignment horizontal="center" vertical="center" wrapText="1"/>
    </xf>
    <xf numFmtId="0" fontId="21" fillId="16" borderId="17" xfId="0" applyFont="1" applyFill="1" applyBorder="1" applyAlignment="1">
      <alignment horizontal="center" vertical="center" wrapText="1"/>
    </xf>
    <xf numFmtId="0" fontId="21" fillId="16" borderId="18" xfId="0" applyFont="1" applyFill="1" applyBorder="1" applyAlignment="1">
      <alignment horizontal="center" vertical="center" wrapText="1"/>
    </xf>
    <xf numFmtId="0" fontId="21" fillId="16" borderId="19" xfId="0" applyFont="1" applyFill="1" applyBorder="1" applyAlignment="1">
      <alignment horizontal="center" vertical="center" wrapText="1"/>
    </xf>
    <xf numFmtId="0" fontId="22" fillId="0" borderId="20" xfId="0" applyFont="1" applyBorder="1" applyAlignment="1">
      <alignment horizontal="center" vertical="center" wrapText="1"/>
    </xf>
    <xf numFmtId="0" fontId="24" fillId="0" borderId="21" xfId="0" applyFont="1" applyBorder="1" applyAlignment="1">
      <alignment horizontal="center" vertical="center" wrapText="1"/>
    </xf>
    <xf numFmtId="0" fontId="22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22" fillId="0" borderId="24" xfId="0" applyFont="1" applyBorder="1" applyAlignment="1">
      <alignment horizontal="center" vertical="center" wrapText="1"/>
    </xf>
    <xf numFmtId="0" fontId="24" fillId="0" borderId="25" xfId="0" applyFont="1" applyBorder="1" applyAlignment="1">
      <alignment horizontal="center" vertical="center" wrapText="1"/>
    </xf>
    <xf numFmtId="0" fontId="24" fillId="3" borderId="26" xfId="0" applyFont="1" applyFill="1" applyBorder="1" applyAlignment="1">
      <alignment horizontal="center" vertical="center" wrapText="1"/>
    </xf>
    <xf numFmtId="0" fontId="24" fillId="0" borderId="26" xfId="0" applyFont="1" applyBorder="1" applyAlignment="1">
      <alignment horizontal="center" vertical="center" wrapText="1"/>
    </xf>
    <xf numFmtId="0" fontId="24" fillId="3" borderId="27" xfId="0" applyFont="1" applyFill="1" applyBorder="1" applyAlignment="1">
      <alignment horizontal="center" vertical="center" wrapText="1"/>
    </xf>
    <xf numFmtId="0" fontId="24" fillId="0" borderId="28" xfId="0" applyFont="1" applyBorder="1" applyAlignment="1">
      <alignment horizontal="center" vertical="center" wrapText="1"/>
    </xf>
    <xf numFmtId="0" fontId="24" fillId="3" borderId="21" xfId="0" applyFont="1" applyFill="1" applyBorder="1" applyAlignment="1">
      <alignment horizontal="center" vertical="center" wrapText="1"/>
    </xf>
    <xf numFmtId="0" fontId="22" fillId="3" borderId="29" xfId="0" applyFont="1" applyFill="1" applyBorder="1" applyAlignment="1">
      <alignment horizontal="center" vertical="center" wrapText="1"/>
    </xf>
    <xf numFmtId="0" fontId="22" fillId="0" borderId="29" xfId="0" applyFont="1" applyBorder="1" applyAlignment="1">
      <alignment horizontal="center" vertical="center" wrapText="1"/>
    </xf>
    <xf numFmtId="0" fontId="22" fillId="0" borderId="30" xfId="0" applyFont="1" applyBorder="1" applyAlignment="1">
      <alignment horizontal="center" vertical="center" wrapText="1"/>
    </xf>
    <xf numFmtId="0" fontId="22" fillId="3" borderId="31" xfId="0" applyFont="1" applyFill="1" applyBorder="1" applyAlignment="1">
      <alignment horizontal="center" vertical="center" wrapText="1"/>
    </xf>
    <xf numFmtId="0" fontId="24" fillId="3" borderId="28" xfId="0" applyFont="1" applyFill="1" applyBorder="1" applyAlignment="1">
      <alignment horizontal="center" vertical="center" wrapText="1"/>
    </xf>
    <xf numFmtId="0" fontId="22" fillId="0" borderId="31" xfId="0" applyFont="1" applyBorder="1" applyAlignment="1">
      <alignment horizontal="center" vertical="center" wrapText="1"/>
    </xf>
    <xf numFmtId="0" fontId="22" fillId="3" borderId="32" xfId="0" applyFont="1" applyFill="1" applyBorder="1" applyAlignment="1">
      <alignment horizontal="center" vertical="center" wrapText="1"/>
    </xf>
    <xf numFmtId="0" fontId="22" fillId="3" borderId="33" xfId="0" applyFont="1" applyFill="1" applyBorder="1" applyAlignment="1">
      <alignment horizontal="center" vertical="center" wrapText="1"/>
    </xf>
    <xf numFmtId="0" fontId="22" fillId="3" borderId="33" xfId="0" applyFont="1" applyFill="1" applyBorder="1" applyAlignment="1">
      <alignment horizontal="left" vertical="center" wrapText="1"/>
    </xf>
    <xf numFmtId="165" fontId="22" fillId="3" borderId="33" xfId="0" applyNumberFormat="1" applyFont="1" applyFill="1" applyBorder="1" applyAlignment="1">
      <alignment horizontal="center" vertical="center" wrapText="1"/>
    </xf>
    <xf numFmtId="165" fontId="24" fillId="3" borderId="33" xfId="0" applyNumberFormat="1" applyFont="1" applyFill="1" applyBorder="1" applyAlignment="1">
      <alignment horizontal="center" vertical="center" wrapText="1"/>
    </xf>
    <xf numFmtId="166" fontId="24" fillId="3" borderId="33" xfId="0" applyNumberFormat="1" applyFont="1" applyFill="1" applyBorder="1" applyAlignment="1">
      <alignment horizontal="center" vertical="center" wrapText="1"/>
    </xf>
    <xf numFmtId="0" fontId="24" fillId="3" borderId="34" xfId="0" applyFont="1" applyFill="1" applyBorder="1" applyAlignment="1">
      <alignment horizontal="center" vertical="center" wrapText="1"/>
    </xf>
    <xf numFmtId="0" fontId="31" fillId="0" borderId="0" xfId="0" applyFont="1"/>
    <xf numFmtId="0" fontId="0" fillId="0" borderId="39" xfId="0" applyBorder="1"/>
    <xf numFmtId="0" fontId="0" fillId="0" borderId="38" xfId="0" applyBorder="1"/>
    <xf numFmtId="0" fontId="10" fillId="2" borderId="0" xfId="0" applyFont="1" applyFill="1" applyAlignment="1">
      <alignment vertical="center"/>
    </xf>
    <xf numFmtId="0" fontId="11" fillId="5" borderId="40" xfId="0" applyFont="1" applyFill="1" applyBorder="1" applyAlignment="1">
      <alignment horizontal="center" vertical="center"/>
    </xf>
    <xf numFmtId="0" fontId="12" fillId="10" borderId="40" xfId="0" applyFont="1" applyFill="1" applyBorder="1" applyAlignment="1">
      <alignment horizontal="left" vertical="center"/>
    </xf>
    <xf numFmtId="0" fontId="14" fillId="9" borderId="40" xfId="0" applyFont="1" applyFill="1" applyBorder="1" applyAlignment="1">
      <alignment horizontal="left" vertical="center"/>
    </xf>
    <xf numFmtId="0" fontId="15" fillId="11" borderId="40" xfId="0" applyFont="1" applyFill="1" applyBorder="1" applyAlignment="1">
      <alignment horizontal="left" vertical="center"/>
    </xf>
    <xf numFmtId="0" fontId="16" fillId="3" borderId="40" xfId="0" applyFont="1" applyFill="1" applyBorder="1" applyAlignment="1">
      <alignment horizontal="left" vertical="center"/>
    </xf>
    <xf numFmtId="0" fontId="13" fillId="13" borderId="40" xfId="0" applyFont="1" applyFill="1" applyBorder="1" applyAlignment="1">
      <alignment horizontal="left" vertical="center"/>
    </xf>
    <xf numFmtId="0" fontId="13" fillId="3" borderId="40" xfId="0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0" fillId="0" borderId="41" xfId="0" applyBorder="1"/>
    <xf numFmtId="0" fontId="0" fillId="0" borderId="42" xfId="0" applyBorder="1"/>
    <xf numFmtId="0" fontId="0" fillId="0" borderId="43" xfId="0" applyBorder="1"/>
    <xf numFmtId="168" fontId="22" fillId="3" borderId="2" xfId="0" applyNumberFormat="1" applyFont="1" applyFill="1" applyBorder="1" applyAlignment="1">
      <alignment horizontal="center" vertical="center" wrapText="1"/>
    </xf>
    <xf numFmtId="0" fontId="0" fillId="0" borderId="46" xfId="0" applyBorder="1"/>
    <xf numFmtId="0" fontId="21" fillId="16" borderId="47" xfId="0" applyFont="1" applyFill="1" applyBorder="1" applyAlignment="1">
      <alignment horizontal="center" vertical="center" wrapText="1"/>
    </xf>
    <xf numFmtId="0" fontId="24" fillId="0" borderId="52" xfId="0" applyFont="1" applyBorder="1" applyAlignment="1">
      <alignment horizontal="center" vertical="center" wrapText="1"/>
    </xf>
    <xf numFmtId="0" fontId="24" fillId="0" borderId="47" xfId="0" applyFont="1" applyBorder="1" applyAlignment="1">
      <alignment horizontal="center" vertical="center" wrapText="1"/>
    </xf>
    <xf numFmtId="0" fontId="24" fillId="3" borderId="49" xfId="0" applyFont="1" applyFill="1" applyBorder="1" applyAlignment="1">
      <alignment horizontal="center" vertical="center" wrapText="1"/>
    </xf>
    <xf numFmtId="0" fontId="24" fillId="0" borderId="53" xfId="0" applyFont="1" applyBorder="1" applyAlignment="1">
      <alignment horizontal="center" vertical="center" wrapText="1"/>
    </xf>
    <xf numFmtId="0" fontId="24" fillId="3" borderId="47" xfId="0" applyFont="1" applyFill="1" applyBorder="1" applyAlignment="1">
      <alignment horizontal="center" vertical="center" wrapText="1"/>
    </xf>
    <xf numFmtId="17" fontId="21" fillId="16" borderId="2" xfId="0" applyNumberFormat="1" applyFont="1" applyFill="1" applyBorder="1" applyAlignment="1">
      <alignment horizontal="center" vertical="center" wrapText="1"/>
    </xf>
    <xf numFmtId="0" fontId="0" fillId="0" borderId="57" xfId="0" applyBorder="1" applyAlignment="1">
      <alignment vertical="center" wrapText="1"/>
    </xf>
    <xf numFmtId="0" fontId="0" fillId="0" borderId="0" xfId="0" applyAlignment="1">
      <alignment wrapText="1"/>
    </xf>
    <xf numFmtId="169" fontId="22" fillId="0" borderId="2" xfId="0" applyNumberFormat="1" applyFont="1" applyBorder="1" applyAlignment="1">
      <alignment horizontal="center" vertical="center" wrapText="1"/>
    </xf>
    <xf numFmtId="167" fontId="0" fillId="0" borderId="0" xfId="0" applyNumberFormat="1"/>
    <xf numFmtId="0" fontId="20" fillId="15" borderId="58" xfId="0" applyFont="1" applyFill="1" applyBorder="1" applyAlignment="1">
      <alignment horizontal="center" vertical="center" wrapText="1"/>
    </xf>
    <xf numFmtId="165" fontId="41" fillId="3" borderId="5" xfId="0" applyNumberFormat="1" applyFont="1" applyFill="1" applyBorder="1" applyAlignment="1">
      <alignment horizontal="center" vertical="center" wrapText="1"/>
    </xf>
    <xf numFmtId="165" fontId="41" fillId="3" borderId="8" xfId="0" applyNumberFormat="1" applyFont="1" applyFill="1" applyBorder="1" applyAlignment="1">
      <alignment horizontal="center" vertical="center" wrapText="1"/>
    </xf>
    <xf numFmtId="165" fontId="41" fillId="0" borderId="8" xfId="0" applyNumberFormat="1" applyFont="1" applyBorder="1" applyAlignment="1">
      <alignment horizontal="center" vertical="center" wrapText="1"/>
    </xf>
    <xf numFmtId="165" fontId="41" fillId="0" borderId="9" xfId="0" applyNumberFormat="1" applyFont="1" applyBorder="1" applyAlignment="1">
      <alignment horizontal="center" vertical="center" wrapText="1"/>
    </xf>
    <xf numFmtId="165" fontId="41" fillId="0" borderId="5" xfId="0" applyNumberFormat="1" applyFont="1" applyBorder="1" applyAlignment="1">
      <alignment horizontal="center" vertical="center" wrapText="1"/>
    </xf>
    <xf numFmtId="165" fontId="41" fillId="3" borderId="2" xfId="0" applyNumberFormat="1" applyFont="1" applyFill="1" applyBorder="1" applyAlignment="1">
      <alignment horizontal="center" vertical="center" wrapText="1"/>
    </xf>
    <xf numFmtId="165" fontId="41" fillId="0" borderId="2" xfId="0" applyNumberFormat="1" applyFont="1" applyBorder="1" applyAlignment="1">
      <alignment horizontal="center" vertical="center" wrapText="1"/>
    </xf>
    <xf numFmtId="167" fontId="41" fillId="3" borderId="2" xfId="0" applyNumberFormat="1" applyFont="1" applyFill="1" applyBorder="1" applyAlignment="1">
      <alignment horizontal="center" vertical="center" wrapText="1"/>
    </xf>
    <xf numFmtId="0" fontId="0" fillId="0" borderId="62" xfId="0" applyBorder="1" applyAlignment="1">
      <alignment vertical="center" wrapText="1"/>
    </xf>
    <xf numFmtId="0" fontId="0" fillId="0" borderId="57" xfId="0" applyBorder="1" applyAlignment="1">
      <alignment vertical="center"/>
    </xf>
    <xf numFmtId="0" fontId="0" fillId="0" borderId="57" xfId="0" applyBorder="1" applyAlignment="1">
      <alignment horizontal="center" vertical="center"/>
    </xf>
    <xf numFmtId="0" fontId="0" fillId="22" borderId="57" xfId="0" applyFill="1" applyBorder="1" applyAlignment="1">
      <alignment vertical="center"/>
    </xf>
    <xf numFmtId="0" fontId="0" fillId="22" borderId="57" xfId="0" applyFill="1" applyBorder="1" applyAlignment="1">
      <alignment vertical="center" wrapText="1"/>
    </xf>
    <xf numFmtId="165" fontId="41" fillId="25" borderId="2" xfId="0" applyNumberFormat="1" applyFont="1" applyFill="1" applyBorder="1" applyAlignment="1">
      <alignment horizontal="center" vertical="center" wrapText="1"/>
    </xf>
    <xf numFmtId="165" fontId="41" fillId="23" borderId="2" xfId="0" applyNumberFormat="1" applyFont="1" applyFill="1" applyBorder="1" applyAlignment="1">
      <alignment horizontal="center" vertical="center" wrapText="1"/>
    </xf>
    <xf numFmtId="165" fontId="41" fillId="21" borderId="2" xfId="0" applyNumberFormat="1" applyFont="1" applyFill="1" applyBorder="1" applyAlignment="1">
      <alignment horizontal="center" vertical="center" wrapText="1"/>
    </xf>
    <xf numFmtId="165" fontId="41" fillId="26" borderId="2" xfId="0" applyNumberFormat="1" applyFont="1" applyFill="1" applyBorder="1" applyAlignment="1">
      <alignment horizontal="center" vertical="center" wrapText="1"/>
    </xf>
    <xf numFmtId="165" fontId="41" fillId="22" borderId="2" xfId="0" applyNumberFormat="1" applyFont="1" applyFill="1" applyBorder="1" applyAlignment="1">
      <alignment horizontal="center" vertical="center" wrapText="1"/>
    </xf>
    <xf numFmtId="165" fontId="24" fillId="26" borderId="2" xfId="0" applyNumberFormat="1" applyFont="1" applyFill="1" applyBorder="1" applyAlignment="1">
      <alignment horizontal="center" vertical="center" wrapText="1"/>
    </xf>
    <xf numFmtId="165" fontId="24" fillId="23" borderId="2" xfId="0" applyNumberFormat="1" applyFont="1" applyFill="1" applyBorder="1" applyAlignment="1">
      <alignment horizontal="center" vertical="center" wrapText="1"/>
    </xf>
    <xf numFmtId="167" fontId="41" fillId="23" borderId="2" xfId="0" applyNumberFormat="1" applyFont="1" applyFill="1" applyBorder="1" applyAlignment="1">
      <alignment horizontal="center" vertical="center" wrapText="1"/>
    </xf>
    <xf numFmtId="167" fontId="24" fillId="23" borderId="2" xfId="0" applyNumberFormat="1" applyFont="1" applyFill="1" applyBorder="1" applyAlignment="1">
      <alignment horizontal="center" vertical="center" wrapText="1"/>
    </xf>
    <xf numFmtId="165" fontId="41" fillId="24" borderId="2" xfId="0" applyNumberFormat="1" applyFont="1" applyFill="1" applyBorder="1" applyAlignment="1">
      <alignment horizontal="center" vertical="center" wrapText="1"/>
    </xf>
    <xf numFmtId="165" fontId="41" fillId="26" borderId="8" xfId="0" applyNumberFormat="1" applyFont="1" applyFill="1" applyBorder="1" applyAlignment="1">
      <alignment horizontal="center" vertical="center" wrapText="1"/>
    </xf>
    <xf numFmtId="0" fontId="22" fillId="26" borderId="2" xfId="0" applyFont="1" applyFill="1" applyBorder="1" applyAlignment="1">
      <alignment horizontal="left" vertical="center" wrapText="1"/>
    </xf>
    <xf numFmtId="165" fontId="22" fillId="23" borderId="2" xfId="0" applyNumberFormat="1" applyFont="1" applyFill="1" applyBorder="1" applyAlignment="1">
      <alignment horizontal="center" vertical="center" wrapText="1"/>
    </xf>
    <xf numFmtId="0" fontId="0" fillId="0" borderId="57" xfId="0" applyBorder="1" applyAlignment="1">
      <alignment horizontal="left" vertical="center"/>
    </xf>
    <xf numFmtId="0" fontId="0" fillId="0" borderId="57" xfId="0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17" fontId="0" fillId="0" borderId="0" xfId="0" applyNumberFormat="1"/>
    <xf numFmtId="9" fontId="0" fillId="0" borderId="0" xfId="2" applyFont="1" applyAlignment="1">
      <alignment horizontal="center" vertical="center"/>
    </xf>
    <xf numFmtId="0" fontId="0" fillId="22" borderId="0" xfId="0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28" borderId="57" xfId="0" applyFill="1" applyBorder="1" applyAlignment="1">
      <alignment horizontal="center" vertical="center" wrapText="1"/>
    </xf>
    <xf numFmtId="0" fontId="0" fillId="28" borderId="57" xfId="0" applyFill="1" applyBorder="1" applyAlignment="1">
      <alignment horizontal="center" vertical="center"/>
    </xf>
    <xf numFmtId="0" fontId="0" fillId="28" borderId="57" xfId="0" applyFill="1" applyBorder="1" applyAlignment="1">
      <alignment horizontal="center"/>
    </xf>
    <xf numFmtId="165" fontId="41" fillId="23" borderId="8" xfId="0" applyNumberFormat="1" applyFont="1" applyFill="1" applyBorder="1" applyAlignment="1">
      <alignment horizontal="center" vertical="center" wrapText="1"/>
    </xf>
    <xf numFmtId="14" fontId="0" fillId="0" borderId="57" xfId="0" applyNumberFormat="1" applyBorder="1" applyAlignment="1">
      <alignment vertical="center"/>
    </xf>
    <xf numFmtId="0" fontId="0" fillId="0" borderId="57" xfId="0" applyBorder="1"/>
    <xf numFmtId="0" fontId="24" fillId="3" borderId="52" xfId="0" applyFont="1" applyFill="1" applyBorder="1" applyAlignment="1">
      <alignment horizontal="center" vertical="center" wrapText="1"/>
    </xf>
    <xf numFmtId="0" fontId="0" fillId="0" borderId="69" xfId="0" applyBorder="1" applyAlignment="1">
      <alignment horizontal="left" vertical="center" wrapText="1"/>
    </xf>
    <xf numFmtId="14" fontId="0" fillId="0" borderId="69" xfId="0" applyNumberFormat="1" applyBorder="1" applyAlignment="1">
      <alignment vertical="center"/>
    </xf>
    <xf numFmtId="0" fontId="22" fillId="0" borderId="14" xfId="0" applyFont="1" applyBorder="1" applyAlignment="1">
      <alignment horizontal="center" vertical="center" wrapText="1"/>
    </xf>
    <xf numFmtId="0" fontId="22" fillId="0" borderId="15" xfId="0" applyFont="1" applyBorder="1" applyAlignment="1">
      <alignment horizontal="left" vertical="center" wrapText="1"/>
    </xf>
    <xf numFmtId="0" fontId="0" fillId="0" borderId="72" xfId="0" applyBorder="1" applyAlignment="1">
      <alignment vertical="center"/>
    </xf>
    <xf numFmtId="0" fontId="22" fillId="25" borderId="2" xfId="0" applyFont="1" applyFill="1" applyBorder="1" applyAlignment="1">
      <alignment horizontal="left" vertical="center" wrapText="1"/>
    </xf>
    <xf numFmtId="165" fontId="22" fillId="26" borderId="2" xfId="0" applyNumberFormat="1" applyFont="1" applyFill="1" applyBorder="1" applyAlignment="1">
      <alignment horizontal="center" vertical="center" wrapText="1"/>
    </xf>
    <xf numFmtId="167" fontId="24" fillId="26" borderId="2" xfId="0" applyNumberFormat="1" applyFont="1" applyFill="1" applyBorder="1" applyAlignment="1">
      <alignment horizontal="center" vertical="center" wrapText="1"/>
    </xf>
    <xf numFmtId="165" fontId="22" fillId="27" borderId="2" xfId="0" applyNumberFormat="1" applyFont="1" applyFill="1" applyBorder="1" applyAlignment="1">
      <alignment horizontal="center" vertical="center" wrapText="1"/>
    </xf>
    <xf numFmtId="167" fontId="41" fillId="26" borderId="2" xfId="0" applyNumberFormat="1" applyFont="1" applyFill="1" applyBorder="1" applyAlignment="1">
      <alignment horizontal="center" vertical="center" wrapText="1"/>
    </xf>
    <xf numFmtId="0" fontId="22" fillId="21" borderId="2" xfId="0" applyFont="1" applyFill="1" applyBorder="1" applyAlignment="1">
      <alignment horizontal="left" vertical="center" wrapText="1"/>
    </xf>
    <xf numFmtId="0" fontId="22" fillId="23" borderId="2" xfId="0" applyFont="1" applyFill="1" applyBorder="1" applyAlignment="1">
      <alignment horizontal="left" vertical="center" wrapText="1"/>
    </xf>
    <xf numFmtId="0" fontId="45" fillId="29" borderId="57" xfId="0" applyFont="1" applyFill="1" applyBorder="1" applyAlignment="1">
      <alignment horizontal="left" vertical="center"/>
    </xf>
    <xf numFmtId="0" fontId="45" fillId="0" borderId="57" xfId="0" applyFont="1" applyBorder="1" applyAlignment="1">
      <alignment horizontal="left" vertical="center" wrapText="1"/>
    </xf>
    <xf numFmtId="0" fontId="45" fillId="22" borderId="57" xfId="0" applyFont="1" applyFill="1" applyBorder="1" applyAlignment="1">
      <alignment horizontal="left" vertical="center" wrapText="1"/>
    </xf>
    <xf numFmtId="0" fontId="46" fillId="0" borderId="57" xfId="0" applyFont="1" applyBorder="1" applyAlignment="1">
      <alignment horizontal="left" vertical="center"/>
    </xf>
    <xf numFmtId="0" fontId="46" fillId="0" borderId="0" xfId="0" applyFont="1" applyAlignment="1">
      <alignment horizontal="left" vertical="center"/>
    </xf>
    <xf numFmtId="0" fontId="47" fillId="0" borderId="57" xfId="0" applyFont="1" applyBorder="1" applyAlignment="1">
      <alignment horizontal="center" vertical="center"/>
    </xf>
    <xf numFmtId="0" fontId="47" fillId="0" borderId="0" xfId="0" applyFont="1" applyAlignment="1">
      <alignment horizontal="center" vertical="center"/>
    </xf>
    <xf numFmtId="0" fontId="47" fillId="0" borderId="57" xfId="0" applyFont="1" applyBorder="1" applyAlignment="1">
      <alignment horizontal="left" vertical="center"/>
    </xf>
    <xf numFmtId="0" fontId="46" fillId="0" borderId="0" xfId="0" applyFont="1" applyAlignment="1">
      <alignment horizontal="center" vertical="center"/>
    </xf>
    <xf numFmtId="0" fontId="46" fillId="0" borderId="62" xfId="0" applyFont="1" applyBorder="1" applyAlignment="1">
      <alignment horizontal="center" vertical="center"/>
    </xf>
    <xf numFmtId="0" fontId="46" fillId="0" borderId="67" xfId="0" applyFont="1" applyBorder="1" applyAlignment="1">
      <alignment horizontal="center" vertical="center"/>
    </xf>
    <xf numFmtId="0" fontId="46" fillId="0" borderId="68" xfId="0" applyFont="1" applyBorder="1" applyAlignment="1">
      <alignment horizontal="center" vertical="center"/>
    </xf>
    <xf numFmtId="0" fontId="46" fillId="0" borderId="63" xfId="0" applyFont="1" applyBorder="1" applyAlignment="1">
      <alignment horizontal="center" vertical="center"/>
    </xf>
    <xf numFmtId="0" fontId="46" fillId="0" borderId="64" xfId="0" applyFont="1" applyBorder="1" applyAlignment="1">
      <alignment horizontal="center" vertical="center"/>
    </xf>
    <xf numFmtId="0" fontId="46" fillId="0" borderId="65" xfId="0" applyFont="1" applyBorder="1" applyAlignment="1">
      <alignment horizontal="center" vertical="center"/>
    </xf>
    <xf numFmtId="0" fontId="46" fillId="0" borderId="66" xfId="0" applyFont="1" applyBorder="1" applyAlignment="1">
      <alignment horizontal="center" vertical="center"/>
    </xf>
    <xf numFmtId="0" fontId="46" fillId="0" borderId="0" xfId="0" applyFont="1" applyAlignment="1">
      <alignment vertical="center"/>
    </xf>
    <xf numFmtId="0" fontId="46" fillId="28" borderId="57" xfId="0" applyFont="1" applyFill="1" applyBorder="1" applyAlignment="1">
      <alignment vertical="center"/>
    </xf>
    <xf numFmtId="0" fontId="46" fillId="28" borderId="57" xfId="0" applyFont="1" applyFill="1" applyBorder="1" applyAlignment="1">
      <alignment horizontal="center" vertical="center"/>
    </xf>
    <xf numFmtId="0" fontId="46" fillId="28" borderId="57" xfId="0" applyFont="1" applyFill="1" applyBorder="1" applyAlignment="1">
      <alignment horizontal="left" vertical="center"/>
    </xf>
    <xf numFmtId="0" fontId="0" fillId="0" borderId="68" xfId="0" applyBorder="1" applyAlignment="1">
      <alignment horizontal="center" vertical="center"/>
    </xf>
    <xf numFmtId="14" fontId="0" fillId="0" borderId="68" xfId="0" applyNumberFormat="1" applyBorder="1" applyAlignment="1">
      <alignment horizontal="center" vertical="center"/>
    </xf>
    <xf numFmtId="14" fontId="0" fillId="22" borderId="68" xfId="0" applyNumberFormat="1" applyFill="1" applyBorder="1" applyAlignment="1">
      <alignment horizontal="center" vertical="center"/>
    </xf>
    <xf numFmtId="14" fontId="0" fillId="22" borderId="64" xfId="0" applyNumberFormat="1" applyFill="1" applyBorder="1" applyAlignment="1">
      <alignment horizontal="center" vertical="center"/>
    </xf>
    <xf numFmtId="14" fontId="0" fillId="22" borderId="66" xfId="0" applyNumberFormat="1" applyFill="1" applyBorder="1" applyAlignment="1">
      <alignment horizontal="center" vertical="center"/>
    </xf>
    <xf numFmtId="165" fontId="22" fillId="0" borderId="11" xfId="0" applyNumberFormat="1" applyFont="1" applyBorder="1" applyAlignment="1">
      <alignment horizontal="center" vertical="center" wrapText="1"/>
    </xf>
    <xf numFmtId="165" fontId="24" fillId="0" borderId="11" xfId="0" applyNumberFormat="1" applyFont="1" applyBorder="1" applyAlignment="1">
      <alignment horizontal="center" vertical="center" wrapText="1"/>
    </xf>
    <xf numFmtId="166" fontId="24" fillId="0" borderId="11" xfId="0" applyNumberFormat="1" applyFont="1" applyBorder="1" applyAlignment="1">
      <alignment horizontal="center" vertical="center" wrapText="1"/>
    </xf>
    <xf numFmtId="0" fontId="24" fillId="0" borderId="54" xfId="0" applyFont="1" applyBorder="1" applyAlignment="1">
      <alignment horizontal="center" vertical="center" wrapText="1"/>
    </xf>
    <xf numFmtId="0" fontId="0" fillId="0" borderId="39" xfId="0" applyBorder="1" applyAlignment="1">
      <alignment wrapText="1"/>
    </xf>
    <xf numFmtId="0" fontId="21" fillId="16" borderId="31" xfId="0" applyFont="1" applyFill="1" applyBorder="1" applyAlignment="1">
      <alignment horizontal="center" vertical="center" wrapText="1"/>
    </xf>
    <xf numFmtId="0" fontId="21" fillId="16" borderId="28" xfId="0" applyFont="1" applyFill="1" applyBorder="1" applyAlignment="1">
      <alignment horizontal="center" vertical="center" wrapText="1"/>
    </xf>
    <xf numFmtId="0" fontId="37" fillId="0" borderId="76" xfId="1" applyBorder="1" applyAlignment="1">
      <alignment vertical="center" wrapText="1"/>
    </xf>
    <xf numFmtId="0" fontId="37" fillId="0" borderId="77" xfId="1" applyBorder="1" applyAlignment="1">
      <alignment vertical="center" wrapText="1"/>
    </xf>
    <xf numFmtId="0" fontId="37" fillId="0" borderId="78" xfId="1" applyBorder="1" applyAlignment="1">
      <alignment vertical="center" wrapText="1"/>
    </xf>
    <xf numFmtId="0" fontId="0" fillId="0" borderId="76" xfId="0" applyBorder="1" applyAlignment="1">
      <alignment vertical="center" wrapText="1"/>
    </xf>
    <xf numFmtId="0" fontId="0" fillId="0" borderId="80" xfId="0" applyBorder="1" applyAlignment="1">
      <alignment vertical="center" wrapText="1"/>
    </xf>
    <xf numFmtId="168" fontId="22" fillId="26" borderId="2" xfId="0" applyNumberFormat="1" applyFont="1" applyFill="1" applyBorder="1" applyAlignment="1">
      <alignment horizontal="center" vertical="center" wrapText="1"/>
    </xf>
    <xf numFmtId="168" fontId="24" fillId="26" borderId="2" xfId="0" applyNumberFormat="1" applyFont="1" applyFill="1" applyBorder="1" applyAlignment="1">
      <alignment horizontal="center" vertical="center" wrapText="1"/>
    </xf>
    <xf numFmtId="0" fontId="22" fillId="3" borderId="20" xfId="0" applyFont="1" applyFill="1" applyBorder="1" applyAlignment="1">
      <alignment horizontal="center" vertical="center" wrapText="1"/>
    </xf>
    <xf numFmtId="0" fontId="22" fillId="0" borderId="22" xfId="0" applyFont="1" applyBorder="1" applyAlignment="1">
      <alignment horizontal="center" vertical="center" wrapText="1"/>
    </xf>
    <xf numFmtId="0" fontId="22" fillId="0" borderId="73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 wrapText="1"/>
    </xf>
    <xf numFmtId="0" fontId="22" fillId="0" borderId="50" xfId="0" applyFont="1" applyBorder="1" applyAlignment="1">
      <alignment horizontal="center" vertical="center" wrapText="1"/>
    </xf>
    <xf numFmtId="0" fontId="22" fillId="0" borderId="55" xfId="0" applyFont="1" applyBorder="1" applyAlignment="1">
      <alignment horizontal="center" vertical="center" wrapText="1"/>
    </xf>
    <xf numFmtId="0" fontId="22" fillId="0" borderId="33" xfId="0" applyFont="1" applyBorder="1" applyAlignment="1">
      <alignment horizontal="left" vertical="center" wrapText="1"/>
    </xf>
    <xf numFmtId="0" fontId="22" fillId="0" borderId="55" xfId="0" applyFont="1" applyBorder="1" applyAlignment="1">
      <alignment horizontal="left" vertical="center" wrapText="1"/>
    </xf>
    <xf numFmtId="165" fontId="41" fillId="0" borderId="11" xfId="0" applyNumberFormat="1" applyFont="1" applyBorder="1" applyAlignment="1">
      <alignment horizontal="center" vertical="center" wrapText="1"/>
    </xf>
    <xf numFmtId="165" fontId="22" fillId="0" borderId="57" xfId="0" applyNumberFormat="1" applyFont="1" applyBorder="1" applyAlignment="1">
      <alignment horizontal="center" vertical="center" wrapText="1"/>
    </xf>
    <xf numFmtId="166" fontId="24" fillId="0" borderId="55" xfId="0" applyNumberFormat="1" applyFont="1" applyBorder="1" applyAlignment="1">
      <alignment horizontal="center" vertical="center" wrapText="1"/>
    </xf>
    <xf numFmtId="0" fontId="24" fillId="0" borderId="56" xfId="0" applyFont="1" applyBorder="1" applyAlignment="1">
      <alignment horizontal="center" vertical="center" wrapText="1"/>
    </xf>
    <xf numFmtId="0" fontId="0" fillId="0" borderId="69" xfId="0" applyBorder="1" applyAlignment="1">
      <alignment vertical="center"/>
    </xf>
    <xf numFmtId="0" fontId="22" fillId="0" borderId="48" xfId="0" applyFont="1" applyBorder="1" applyAlignment="1">
      <alignment horizontal="center" vertical="center" wrapText="1"/>
    </xf>
    <xf numFmtId="0" fontId="22" fillId="3" borderId="24" xfId="0" applyFont="1" applyFill="1" applyBorder="1" applyAlignment="1">
      <alignment horizontal="center" vertical="center" wrapText="1"/>
    </xf>
    <xf numFmtId="0" fontId="22" fillId="0" borderId="32" xfId="0" applyFont="1" applyBorder="1" applyAlignment="1">
      <alignment horizontal="center" vertical="center" wrapText="1"/>
    </xf>
    <xf numFmtId="0" fontId="22" fillId="0" borderId="6" xfId="0" applyFont="1" applyBorder="1" applyAlignment="1">
      <alignment horizontal="center" vertical="center" wrapText="1"/>
    </xf>
    <xf numFmtId="0" fontId="22" fillId="3" borderId="11" xfId="0" applyFont="1" applyFill="1" applyBorder="1" applyAlignment="1">
      <alignment horizontal="center" vertical="center" wrapText="1"/>
    </xf>
    <xf numFmtId="0" fontId="22" fillId="0" borderId="7" xfId="0" applyFont="1" applyBorder="1" applyAlignment="1">
      <alignment horizontal="center" vertical="center" wrapText="1"/>
    </xf>
    <xf numFmtId="0" fontId="22" fillId="3" borderId="11" xfId="0" applyFont="1" applyFill="1" applyBorder="1" applyAlignment="1">
      <alignment horizontal="left" vertical="center" wrapText="1"/>
    </xf>
    <xf numFmtId="0" fontId="22" fillId="26" borderId="4" xfId="0" applyFont="1" applyFill="1" applyBorder="1" applyAlignment="1">
      <alignment horizontal="left" vertical="center" wrapText="1"/>
    </xf>
    <xf numFmtId="0" fontId="22" fillId="25" borderId="4" xfId="0" applyFont="1" applyFill="1" applyBorder="1" applyAlignment="1">
      <alignment horizontal="left" vertical="center" wrapText="1"/>
    </xf>
    <xf numFmtId="0" fontId="23" fillId="0" borderId="8" xfId="0" applyFont="1" applyBorder="1" applyAlignment="1">
      <alignment horizontal="left" vertical="center" wrapText="1"/>
    </xf>
    <xf numFmtId="0" fontId="22" fillId="25" borderId="9" xfId="0" applyFont="1" applyFill="1" applyBorder="1" applyAlignment="1">
      <alignment horizontal="left" vertical="center" wrapText="1"/>
    </xf>
    <xf numFmtId="0" fontId="23" fillId="3" borderId="33" xfId="0" applyFont="1" applyFill="1" applyBorder="1" applyAlignment="1">
      <alignment horizontal="left" vertical="center" wrapText="1"/>
    </xf>
    <xf numFmtId="0" fontId="23" fillId="3" borderId="11" xfId="0" applyFont="1" applyFill="1" applyBorder="1" applyAlignment="1">
      <alignment horizontal="left" vertical="center" wrapText="1"/>
    </xf>
    <xf numFmtId="0" fontId="39" fillId="3" borderId="2" xfId="0" applyFont="1" applyFill="1" applyBorder="1" applyAlignment="1">
      <alignment horizontal="left" vertical="center" wrapText="1"/>
    </xf>
    <xf numFmtId="0" fontId="22" fillId="3" borderId="70" xfId="0" applyFont="1" applyFill="1" applyBorder="1" applyAlignment="1">
      <alignment horizontal="left" vertical="center" wrapText="1"/>
    </xf>
    <xf numFmtId="0" fontId="22" fillId="0" borderId="16" xfId="0" applyFont="1" applyBorder="1" applyAlignment="1">
      <alignment horizontal="left" vertical="center" wrapText="1"/>
    </xf>
    <xf numFmtId="0" fontId="22" fillId="3" borderId="4" xfId="0" applyFont="1" applyFill="1" applyBorder="1" applyAlignment="1">
      <alignment horizontal="center" vertical="center" wrapText="1"/>
    </xf>
    <xf numFmtId="0" fontId="23" fillId="3" borderId="33" xfId="0" applyFont="1" applyFill="1" applyBorder="1" applyAlignment="1">
      <alignment horizontal="center" vertical="center" wrapText="1"/>
    </xf>
    <xf numFmtId="0" fontId="22" fillId="0" borderId="10" xfId="0" applyFont="1" applyBorder="1" applyAlignment="1">
      <alignment horizontal="center" vertical="center" wrapText="1"/>
    </xf>
    <xf numFmtId="165" fontId="22" fillId="3" borderId="3" xfId="0" applyNumberFormat="1" applyFont="1" applyFill="1" applyBorder="1" applyAlignment="1">
      <alignment horizontal="center" vertical="center" wrapText="1"/>
    </xf>
    <xf numFmtId="168" fontId="22" fillId="0" borderId="5" xfId="0" applyNumberFormat="1" applyFont="1" applyBorder="1" applyAlignment="1">
      <alignment horizontal="center" vertical="center" wrapText="1"/>
    </xf>
    <xf numFmtId="165" fontId="22" fillId="0" borderId="10" xfId="0" applyNumberFormat="1" applyFont="1" applyBorder="1" applyAlignment="1">
      <alignment horizontal="center" vertical="center" wrapText="1"/>
    </xf>
    <xf numFmtId="167" fontId="22" fillId="0" borderId="9" xfId="0" applyNumberFormat="1" applyFont="1" applyBorder="1" applyAlignment="1">
      <alignment horizontal="center" vertical="center" wrapText="1"/>
    </xf>
    <xf numFmtId="169" fontId="22" fillId="0" borderId="9" xfId="0" applyNumberFormat="1" applyFont="1" applyBorder="1" applyAlignment="1">
      <alignment horizontal="center" vertical="center" wrapText="1"/>
    </xf>
    <xf numFmtId="167" fontId="22" fillId="0" borderId="55" xfId="0" applyNumberFormat="1" applyFont="1" applyBorder="1" applyAlignment="1">
      <alignment horizontal="center" vertical="center" wrapText="1"/>
    </xf>
    <xf numFmtId="165" fontId="22" fillId="3" borderId="4" xfId="0" applyNumberFormat="1" applyFont="1" applyFill="1" applyBorder="1" applyAlignment="1">
      <alignment horizontal="center" vertical="center" wrapText="1"/>
    </xf>
    <xf numFmtId="168" fontId="22" fillId="0" borderId="9" xfId="0" applyNumberFormat="1" applyFont="1" applyBorder="1" applyAlignment="1">
      <alignment horizontal="center" vertical="center" wrapText="1"/>
    </xf>
    <xf numFmtId="165" fontId="22" fillId="26" borderId="11" xfId="0" applyNumberFormat="1" applyFont="1" applyFill="1" applyBorder="1" applyAlignment="1">
      <alignment horizontal="center" vertical="center" wrapText="1"/>
    </xf>
    <xf numFmtId="167" fontId="22" fillId="0" borderId="8" xfId="0" applyNumberFormat="1" applyFont="1" applyBorder="1" applyAlignment="1">
      <alignment horizontal="center" vertical="center" wrapText="1"/>
    </xf>
    <xf numFmtId="169" fontId="41" fillId="0" borderId="5" xfId="0" applyNumberFormat="1" applyFont="1" applyBorder="1" applyAlignment="1">
      <alignment horizontal="center" vertical="center" wrapText="1"/>
    </xf>
    <xf numFmtId="165" fontId="41" fillId="0" borderId="10" xfId="0" applyNumberFormat="1" applyFont="1" applyBorder="1" applyAlignment="1">
      <alignment horizontal="center" vertical="center" wrapText="1"/>
    </xf>
    <xf numFmtId="165" fontId="22" fillId="21" borderId="11" xfId="0" applyNumberFormat="1" applyFont="1" applyFill="1" applyBorder="1" applyAlignment="1">
      <alignment horizontal="center" vertical="center" wrapText="1"/>
    </xf>
    <xf numFmtId="169" fontId="41" fillId="0" borderId="8" xfId="0" applyNumberFormat="1" applyFont="1" applyBorder="1" applyAlignment="1">
      <alignment horizontal="center" vertical="center" wrapText="1"/>
    </xf>
    <xf numFmtId="165" fontId="41" fillId="26" borderId="5" xfId="0" applyNumberFormat="1" applyFont="1" applyFill="1" applyBorder="1" applyAlignment="1">
      <alignment horizontal="center" vertical="center" wrapText="1"/>
    </xf>
    <xf numFmtId="167" fontId="22" fillId="0" borderId="3" xfId="0" applyNumberFormat="1" applyFont="1" applyBorder="1" applyAlignment="1">
      <alignment horizontal="center" vertical="center" wrapText="1"/>
    </xf>
    <xf numFmtId="169" fontId="41" fillId="0" borderId="4" xfId="0" applyNumberFormat="1" applyFont="1" applyBorder="1" applyAlignment="1">
      <alignment horizontal="center" vertical="center" wrapText="1"/>
    </xf>
    <xf numFmtId="165" fontId="41" fillId="3" borderId="11" xfId="0" applyNumberFormat="1" applyFont="1" applyFill="1" applyBorder="1" applyAlignment="1">
      <alignment horizontal="center" vertical="center" wrapText="1"/>
    </xf>
    <xf numFmtId="165" fontId="41" fillId="23" borderId="14" xfId="0" applyNumberFormat="1" applyFont="1" applyFill="1" applyBorder="1" applyAlignment="1">
      <alignment horizontal="center" vertical="center" wrapText="1"/>
    </xf>
    <xf numFmtId="165" fontId="22" fillId="23" borderId="33" xfId="0" applyNumberFormat="1" applyFont="1" applyFill="1" applyBorder="1" applyAlignment="1">
      <alignment horizontal="center" vertical="center" wrapText="1"/>
    </xf>
    <xf numFmtId="169" fontId="41" fillId="0" borderId="9" xfId="0" applyNumberFormat="1" applyFont="1" applyBorder="1" applyAlignment="1">
      <alignment horizontal="center" vertical="center" wrapText="1"/>
    </xf>
    <xf numFmtId="165" fontId="24" fillId="3" borderId="4" xfId="0" applyNumberFormat="1" applyFont="1" applyFill="1" applyBorder="1" applyAlignment="1">
      <alignment horizontal="center" vertical="center" wrapText="1"/>
    </xf>
    <xf numFmtId="165" fontId="24" fillId="3" borderId="8" xfId="0" applyNumberFormat="1" applyFont="1" applyFill="1" applyBorder="1" applyAlignment="1">
      <alignment horizontal="center" vertical="center" wrapText="1"/>
    </xf>
    <xf numFmtId="167" fontId="24" fillId="26" borderId="9" xfId="0" applyNumberFormat="1" applyFont="1" applyFill="1" applyBorder="1" applyAlignment="1">
      <alignment horizontal="center" vertical="center" wrapText="1"/>
    </xf>
    <xf numFmtId="169" fontId="24" fillId="27" borderId="9" xfId="0" applyNumberFormat="1" applyFont="1" applyFill="1" applyBorder="1" applyAlignment="1">
      <alignment horizontal="center" vertical="center" wrapText="1"/>
    </xf>
    <xf numFmtId="165" fontId="24" fillId="3" borderId="3" xfId="0" applyNumberFormat="1" applyFont="1" applyFill="1" applyBorder="1" applyAlignment="1">
      <alignment horizontal="center" vertical="center" wrapText="1"/>
    </xf>
    <xf numFmtId="165" fontId="24" fillId="23" borderId="8" xfId="0" applyNumberFormat="1" applyFont="1" applyFill="1" applyBorder="1" applyAlignment="1">
      <alignment horizontal="center" vertical="center" wrapText="1"/>
    </xf>
    <xf numFmtId="167" fontId="24" fillId="26" borderId="55" xfId="0" applyNumberFormat="1" applyFont="1" applyFill="1" applyBorder="1" applyAlignment="1">
      <alignment horizontal="center" vertical="center" wrapText="1"/>
    </xf>
    <xf numFmtId="165" fontId="24" fillId="0" borderId="10" xfId="0" applyNumberFormat="1" applyFont="1" applyBorder="1" applyAlignment="1">
      <alignment horizontal="center" vertical="center" wrapText="1"/>
    </xf>
    <xf numFmtId="166" fontId="24" fillId="3" borderId="14" xfId="0" applyNumberFormat="1" applyFont="1" applyFill="1" applyBorder="1" applyAlignment="1">
      <alignment horizontal="center" vertical="center" wrapText="1"/>
    </xf>
    <xf numFmtId="0" fontId="24" fillId="0" borderId="51" xfId="0" applyFont="1" applyBorder="1" applyAlignment="1">
      <alignment horizontal="center" vertical="center" wrapText="1"/>
    </xf>
    <xf numFmtId="0" fontId="24" fillId="3" borderId="79" xfId="0" applyFont="1" applyFill="1" applyBorder="1" applyAlignment="1">
      <alignment horizontal="center" vertical="center" wrapText="1"/>
    </xf>
    <xf numFmtId="0" fontId="24" fillId="3" borderId="71" xfId="0" applyFont="1" applyFill="1" applyBorder="1" applyAlignment="1">
      <alignment horizontal="center" vertical="center" wrapText="1"/>
    </xf>
    <xf numFmtId="0" fontId="0" fillId="0" borderId="39" xfId="0" applyBorder="1" applyAlignment="1">
      <alignment vertical="center" wrapText="1"/>
    </xf>
    <xf numFmtId="0" fontId="37" fillId="0" borderId="62" xfId="1" applyBorder="1" applyAlignment="1">
      <alignment vertical="center" wrapText="1"/>
    </xf>
    <xf numFmtId="0" fontId="37" fillId="0" borderId="57" xfId="1" applyBorder="1" applyAlignment="1">
      <alignment vertical="center" wrapText="1"/>
    </xf>
    <xf numFmtId="0" fontId="37" fillId="0" borderId="72" xfId="1" applyBorder="1" applyAlignment="1">
      <alignment vertical="center" wrapText="1"/>
    </xf>
    <xf numFmtId="0" fontId="37" fillId="0" borderId="76" xfId="1" applyFill="1" applyBorder="1"/>
    <xf numFmtId="0" fontId="37" fillId="0" borderId="62" xfId="1" applyFill="1" applyBorder="1" applyAlignment="1">
      <alignment vertical="center" wrapText="1"/>
    </xf>
    <xf numFmtId="0" fontId="0" fillId="26" borderId="0" xfId="0" applyFill="1" applyAlignment="1">
      <alignment horizontal="center" vertical="center"/>
    </xf>
    <xf numFmtId="0" fontId="19" fillId="2" borderId="35" xfId="0" applyFont="1" applyFill="1" applyBorder="1" applyAlignment="1">
      <alignment horizontal="center" vertical="center"/>
    </xf>
    <xf numFmtId="0" fontId="19" fillId="2" borderId="36" xfId="0" applyFont="1" applyFill="1" applyBorder="1" applyAlignment="1">
      <alignment horizontal="center" vertical="center"/>
    </xf>
    <xf numFmtId="0" fontId="19" fillId="2" borderId="37" xfId="0" applyFont="1" applyFill="1" applyBorder="1" applyAlignment="1">
      <alignment horizontal="center" vertical="center"/>
    </xf>
    <xf numFmtId="0" fontId="34" fillId="14" borderId="38" xfId="0" applyFont="1" applyFill="1" applyBorder="1" applyAlignment="1">
      <alignment horizontal="center" vertical="center"/>
    </xf>
    <xf numFmtId="0" fontId="34" fillId="14" borderId="0" xfId="0" applyFont="1" applyFill="1" applyAlignment="1">
      <alignment horizontal="center" vertical="center"/>
    </xf>
    <xf numFmtId="0" fontId="34" fillId="14" borderId="39" xfId="0" applyFont="1" applyFill="1" applyBorder="1" applyAlignment="1">
      <alignment horizontal="center" vertical="center"/>
    </xf>
    <xf numFmtId="0" fontId="20" fillId="15" borderId="58" xfId="0" applyFont="1" applyFill="1" applyBorder="1" applyAlignment="1">
      <alignment horizontal="center" vertical="center" wrapText="1"/>
    </xf>
    <xf numFmtId="0" fontId="20" fillId="15" borderId="59" xfId="0" applyFont="1" applyFill="1" applyBorder="1" applyAlignment="1">
      <alignment horizontal="center" vertical="center" wrapText="1"/>
    </xf>
    <xf numFmtId="0" fontId="20" fillId="15" borderId="75" xfId="0" applyFont="1" applyFill="1" applyBorder="1" applyAlignment="1">
      <alignment horizontal="center" vertical="center" wrapText="1"/>
    </xf>
    <xf numFmtId="0" fontId="35" fillId="0" borderId="0" xfId="0" applyFont="1" applyAlignment="1">
      <alignment horizontal="left" vertical="center" wrapText="1"/>
    </xf>
    <xf numFmtId="0" fontId="20" fillId="15" borderId="74" xfId="0" applyFont="1" applyFill="1" applyBorder="1" applyAlignment="1">
      <alignment horizontal="left" vertical="center" wrapText="1"/>
    </xf>
    <xf numFmtId="0" fontId="20" fillId="15" borderId="60" xfId="0" applyFont="1" applyFill="1" applyBorder="1" applyAlignment="1">
      <alignment horizontal="left" vertical="center" wrapText="1"/>
    </xf>
    <xf numFmtId="0" fontId="20" fillId="15" borderId="61" xfId="0" applyFont="1" applyFill="1" applyBorder="1" applyAlignment="1">
      <alignment horizontal="left" vertical="center" wrapText="1"/>
    </xf>
    <xf numFmtId="0" fontId="20" fillId="15" borderId="2" xfId="0" applyFont="1" applyFill="1" applyBorder="1" applyAlignment="1">
      <alignment horizontal="center" vertical="center" wrapText="1"/>
    </xf>
    <xf numFmtId="0" fontId="32" fillId="2" borderId="35" xfId="0" applyFont="1" applyFill="1" applyBorder="1" applyAlignment="1">
      <alignment horizontal="left" vertical="center"/>
    </xf>
    <xf numFmtId="0" fontId="32" fillId="2" borderId="36" xfId="0" applyFont="1" applyFill="1" applyBorder="1" applyAlignment="1">
      <alignment horizontal="left" vertical="center"/>
    </xf>
    <xf numFmtId="0" fontId="32" fillId="2" borderId="37" xfId="0" applyFont="1" applyFill="1" applyBorder="1" applyAlignment="1">
      <alignment horizontal="left" vertical="center"/>
    </xf>
    <xf numFmtId="0" fontId="10" fillId="2" borderId="45" xfId="0" applyFont="1" applyFill="1" applyBorder="1" applyAlignment="1">
      <alignment horizontal="center" vertical="center"/>
    </xf>
    <xf numFmtId="0" fontId="18" fillId="0" borderId="0" xfId="0" applyFont="1" applyAlignment="1">
      <alignment horizontal="left" vertical="center" wrapText="1"/>
    </xf>
    <xf numFmtId="0" fontId="10" fillId="2" borderId="38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164" fontId="8" fillId="12" borderId="0" xfId="0" applyNumberFormat="1" applyFont="1" applyFill="1" applyAlignment="1">
      <alignment horizontal="center" vertical="center"/>
    </xf>
    <xf numFmtId="164" fontId="8" fillId="12" borderId="39" xfId="0" applyNumberFormat="1" applyFont="1" applyFill="1" applyBorder="1" applyAlignment="1">
      <alignment horizontal="center" vertical="center"/>
    </xf>
    <xf numFmtId="0" fontId="9" fillId="9" borderId="38" xfId="0" applyFont="1" applyFill="1" applyBorder="1" applyAlignment="1">
      <alignment horizontal="center" vertical="center"/>
    </xf>
    <xf numFmtId="0" fontId="9" fillId="9" borderId="0" xfId="0" applyFont="1" applyFill="1" applyAlignment="1">
      <alignment horizontal="center" vertical="center"/>
    </xf>
    <xf numFmtId="0" fontId="9" fillId="10" borderId="0" xfId="0" applyFont="1" applyFill="1" applyAlignment="1">
      <alignment horizontal="center" vertical="center"/>
    </xf>
    <xf numFmtId="0" fontId="9" fillId="11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12" borderId="0" xfId="0" applyFont="1" applyFill="1" applyAlignment="1">
      <alignment horizontal="center" vertical="center"/>
    </xf>
    <xf numFmtId="0" fontId="9" fillId="12" borderId="39" xfId="0" applyFont="1" applyFill="1" applyBorder="1" applyAlignment="1">
      <alignment horizontal="center" vertical="center"/>
    </xf>
    <xf numFmtId="0" fontId="3" fillId="9" borderId="38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4" fillId="10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2" fillId="8" borderId="39" xfId="0" applyFont="1" applyFill="1" applyBorder="1" applyAlignment="1">
      <alignment horizontal="center" vertical="center"/>
    </xf>
    <xf numFmtId="0" fontId="36" fillId="3" borderId="38" xfId="0" applyFont="1" applyFill="1" applyBorder="1" applyAlignment="1">
      <alignment horizontal="left" vertical="center"/>
    </xf>
    <xf numFmtId="0" fontId="36" fillId="3" borderId="0" xfId="0" applyFont="1" applyFill="1" applyAlignment="1">
      <alignment horizontal="left" vertical="center"/>
    </xf>
    <xf numFmtId="0" fontId="36" fillId="3" borderId="39" xfId="0" applyFont="1" applyFill="1" applyBorder="1" applyAlignment="1">
      <alignment horizontal="left" vertical="center"/>
    </xf>
    <xf numFmtId="0" fontId="33" fillId="20" borderId="38" xfId="0" applyFont="1" applyFill="1" applyBorder="1" applyAlignment="1">
      <alignment horizontal="center" vertical="center"/>
    </xf>
    <xf numFmtId="0" fontId="33" fillId="20" borderId="0" xfId="0" applyFont="1" applyFill="1" applyAlignment="1">
      <alignment horizontal="center" vertical="center"/>
    </xf>
    <xf numFmtId="0" fontId="33" fillId="20" borderId="39" xfId="0" applyFont="1" applyFill="1" applyBorder="1" applyAlignment="1">
      <alignment horizontal="center" vertical="center"/>
    </xf>
    <xf numFmtId="0" fontId="5" fillId="9" borderId="0" xfId="0" applyFont="1" applyFill="1" applyAlignment="1">
      <alignment horizontal="center" vertical="center"/>
    </xf>
    <xf numFmtId="0" fontId="6" fillId="11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2" fillId="2" borderId="38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10" fillId="2" borderId="44" xfId="0" applyFont="1" applyFill="1" applyBorder="1" applyAlignment="1">
      <alignment horizontal="center" vertical="center"/>
    </xf>
    <xf numFmtId="0" fontId="0" fillId="28" borderId="62" xfId="0" applyFill="1" applyBorder="1" applyAlignment="1">
      <alignment horizontal="center" vertical="center" wrapText="1"/>
    </xf>
    <xf numFmtId="0" fontId="0" fillId="28" borderId="68" xfId="0" applyFill="1" applyBorder="1" applyAlignment="1">
      <alignment horizontal="center" vertical="center" wrapText="1"/>
    </xf>
    <xf numFmtId="0" fontId="29" fillId="0" borderId="0" xfId="0" applyFont="1" applyAlignment="1">
      <alignment horizontal="left" vertical="center" wrapText="1"/>
    </xf>
    <xf numFmtId="0" fontId="19" fillId="2" borderId="0" xfId="0" applyFont="1" applyFill="1" applyAlignment="1">
      <alignment horizontal="center" vertical="center"/>
    </xf>
    <xf numFmtId="0" fontId="30" fillId="14" borderId="0" xfId="0" applyFont="1" applyFill="1" applyAlignment="1">
      <alignment horizontal="center" vertical="center"/>
    </xf>
    <xf numFmtId="0" fontId="20" fillId="15" borderId="3" xfId="0" applyFont="1" applyFill="1" applyBorder="1" applyAlignment="1">
      <alignment horizontal="center" vertical="center" wrapText="1"/>
    </xf>
    <xf numFmtId="165" fontId="49" fillId="30" borderId="5" xfId="0" applyNumberFormat="1" applyFont="1" applyFill="1" applyBorder="1" applyAlignment="1">
      <alignment horizontal="center" vertical="center" wrapText="1"/>
    </xf>
    <xf numFmtId="165" fontId="41" fillId="30" borderId="5" xfId="0" applyNumberFormat="1" applyFont="1" applyFill="1" applyBorder="1" applyAlignment="1">
      <alignment horizontal="center" vertical="center" wrapText="1"/>
    </xf>
    <xf numFmtId="165" fontId="41" fillId="30" borderId="8" xfId="0" applyNumberFormat="1" applyFont="1" applyFill="1" applyBorder="1" applyAlignment="1">
      <alignment horizontal="center" vertical="center" wrapText="1"/>
    </xf>
    <xf numFmtId="165" fontId="24" fillId="30" borderId="5" xfId="0" applyNumberFormat="1" applyFont="1" applyFill="1" applyBorder="1" applyAlignment="1">
      <alignment horizontal="center" vertical="center" wrapText="1"/>
    </xf>
    <xf numFmtId="165" fontId="41" fillId="31" borderId="8" xfId="0" applyNumberFormat="1" applyFont="1" applyFill="1" applyBorder="1" applyAlignment="1">
      <alignment horizontal="center" vertical="center" wrapText="1"/>
    </xf>
    <xf numFmtId="165" fontId="41" fillId="31" borderId="14" xfId="0" applyNumberFormat="1" applyFont="1" applyFill="1" applyBorder="1" applyAlignment="1">
      <alignment horizontal="center" vertical="center" wrapText="1"/>
    </xf>
    <xf numFmtId="165" fontId="22" fillId="31" borderId="2" xfId="0" applyNumberFormat="1" applyFont="1" applyFill="1" applyBorder="1" applyAlignment="1">
      <alignment horizontal="center" vertical="center" wrapText="1"/>
    </xf>
    <xf numFmtId="165" fontId="24" fillId="31" borderId="2" xfId="0" applyNumberFormat="1" applyFont="1" applyFill="1" applyBorder="1" applyAlignment="1">
      <alignment horizontal="center" vertical="center" wrapText="1"/>
    </xf>
    <xf numFmtId="2" fontId="44" fillId="30" borderId="2" xfId="0" applyNumberFormat="1" applyFont="1" applyFill="1" applyBorder="1" applyAlignment="1">
      <alignment horizontal="center" vertical="center"/>
    </xf>
    <xf numFmtId="165" fontId="22" fillId="30" borderId="2" xfId="0" applyNumberFormat="1" applyFont="1" applyFill="1" applyBorder="1" applyAlignment="1">
      <alignment horizontal="center" vertical="center" wrapText="1"/>
    </xf>
    <xf numFmtId="165" fontId="22" fillId="30" borderId="57" xfId="0" applyNumberFormat="1" applyFont="1" applyFill="1" applyBorder="1" applyAlignment="1">
      <alignment horizontal="center" vertical="center" wrapText="1"/>
    </xf>
    <xf numFmtId="165" fontId="41" fillId="30" borderId="2" xfId="0" applyNumberFormat="1" applyFont="1" applyFill="1" applyBorder="1" applyAlignment="1">
      <alignment horizontal="center" vertical="center" wrapText="1"/>
    </xf>
    <xf numFmtId="165" fontId="24" fillId="30" borderId="2" xfId="0" applyNumberFormat="1" applyFont="1" applyFill="1" applyBorder="1" applyAlignment="1">
      <alignment horizontal="center" vertical="center" wrapText="1"/>
    </xf>
    <xf numFmtId="165" fontId="41" fillId="31" borderId="2" xfId="0" applyNumberFormat="1" applyFont="1" applyFill="1" applyBorder="1" applyAlignment="1">
      <alignment horizontal="center" vertical="center" wrapText="1"/>
    </xf>
    <xf numFmtId="165" fontId="24" fillId="31" borderId="11" xfId="0" applyNumberFormat="1" applyFont="1" applyFill="1" applyBorder="1" applyAlignment="1">
      <alignment horizontal="center" vertical="center" wrapText="1"/>
    </xf>
    <xf numFmtId="165" fontId="41" fillId="32" borderId="2" xfId="0" applyNumberFormat="1" applyFont="1" applyFill="1" applyBorder="1" applyAlignment="1">
      <alignment horizontal="center" vertical="center" wrapText="1"/>
    </xf>
    <xf numFmtId="165" fontId="24" fillId="32" borderId="2" xfId="0" applyNumberFormat="1" applyFont="1" applyFill="1" applyBorder="1" applyAlignment="1">
      <alignment horizontal="center" vertical="center" wrapText="1"/>
    </xf>
    <xf numFmtId="165" fontId="22" fillId="29" borderId="2" xfId="0" applyNumberFormat="1" applyFont="1" applyFill="1" applyBorder="1" applyAlignment="1">
      <alignment horizontal="center" vertical="center" wrapText="1"/>
    </xf>
    <xf numFmtId="165" fontId="41" fillId="29" borderId="2" xfId="0" applyNumberFormat="1" applyFont="1" applyFill="1" applyBorder="1" applyAlignment="1">
      <alignment horizontal="center" vertical="center" wrapText="1"/>
    </xf>
    <xf numFmtId="165" fontId="24" fillId="29" borderId="2" xfId="0" applyNumberFormat="1" applyFont="1" applyFill="1" applyBorder="1" applyAlignment="1">
      <alignment horizontal="center" vertical="center" wrapText="1"/>
    </xf>
    <xf numFmtId="165" fontId="22" fillId="32" borderId="2" xfId="0" applyNumberFormat="1" applyFont="1" applyFill="1" applyBorder="1" applyAlignment="1">
      <alignment horizontal="center" vertical="center" wrapText="1"/>
    </xf>
    <xf numFmtId="167" fontId="41" fillId="32" borderId="2" xfId="0" applyNumberFormat="1" applyFont="1" applyFill="1" applyBorder="1" applyAlignment="1">
      <alignment horizontal="center" vertical="center" wrapText="1"/>
    </xf>
    <xf numFmtId="167" fontId="24" fillId="32" borderId="2" xfId="0" applyNumberFormat="1" applyFont="1" applyFill="1" applyBorder="1" applyAlignment="1">
      <alignment horizontal="center" vertical="center" wrapText="1"/>
    </xf>
    <xf numFmtId="165" fontId="22" fillId="29" borderId="57" xfId="0" applyNumberFormat="1" applyFont="1" applyFill="1" applyBorder="1" applyAlignment="1">
      <alignment horizontal="center" vertical="center" wrapText="1"/>
    </xf>
    <xf numFmtId="165" fontId="22" fillId="32" borderId="33" xfId="0" applyNumberFormat="1" applyFont="1" applyFill="1" applyBorder="1" applyAlignment="1">
      <alignment horizontal="center" vertical="center" wrapText="1"/>
    </xf>
    <xf numFmtId="165" fontId="24" fillId="32" borderId="33" xfId="0" applyNumberFormat="1" applyFont="1" applyFill="1" applyBorder="1" applyAlignment="1">
      <alignment horizontal="center" vertical="center" wrapText="1"/>
    </xf>
    <xf numFmtId="0" fontId="0" fillId="29" borderId="0" xfId="0" applyFill="1" applyAlignment="1">
      <alignment horizontal="center" vertical="center"/>
    </xf>
    <xf numFmtId="167" fontId="41" fillId="31" borderId="2" xfId="0" applyNumberFormat="1" applyFont="1" applyFill="1" applyBorder="1" applyAlignment="1">
      <alignment horizontal="center" vertical="center" wrapText="1"/>
    </xf>
    <xf numFmtId="167" fontId="24" fillId="31" borderId="2" xfId="0" applyNumberFormat="1" applyFont="1" applyFill="1" applyBorder="1" applyAlignment="1">
      <alignment horizontal="center" vertical="center" wrapText="1"/>
    </xf>
    <xf numFmtId="165" fontId="41" fillId="33" borderId="2" xfId="0" applyNumberFormat="1" applyFont="1" applyFill="1" applyBorder="1" applyAlignment="1">
      <alignment horizontal="center" vertical="center" wrapText="1"/>
    </xf>
    <xf numFmtId="165" fontId="24" fillId="33" borderId="2" xfId="0" applyNumberFormat="1" applyFont="1" applyFill="1" applyBorder="1" applyAlignment="1">
      <alignment horizontal="center" vertical="center" wrapText="1"/>
    </xf>
    <xf numFmtId="165" fontId="22" fillId="33" borderId="2" xfId="0" applyNumberFormat="1" applyFont="1" applyFill="1" applyBorder="1" applyAlignment="1">
      <alignment horizontal="center" vertical="center" wrapText="1"/>
    </xf>
    <xf numFmtId="167" fontId="41" fillId="33" borderId="2" xfId="0" applyNumberFormat="1" applyFont="1" applyFill="1" applyBorder="1" applyAlignment="1">
      <alignment horizontal="center" vertical="center" wrapText="1"/>
    </xf>
    <xf numFmtId="165" fontId="22" fillId="34" borderId="2" xfId="0" applyNumberFormat="1" applyFont="1" applyFill="1" applyBorder="1" applyAlignment="1">
      <alignment horizontal="center" vertical="center" wrapText="1"/>
    </xf>
    <xf numFmtId="165" fontId="24" fillId="34" borderId="2" xfId="0" applyNumberFormat="1" applyFont="1" applyFill="1" applyBorder="1" applyAlignment="1">
      <alignment horizontal="center" vertical="center" wrapText="1"/>
    </xf>
    <xf numFmtId="2" fontId="0" fillId="34" borderId="57" xfId="0" applyNumberFormat="1" applyFill="1" applyBorder="1" applyAlignment="1">
      <alignment horizontal="center" vertical="center" wrapText="1"/>
    </xf>
    <xf numFmtId="2" fontId="1" fillId="34" borderId="57" xfId="0" applyNumberFormat="1" applyFont="1" applyFill="1" applyBorder="1" applyAlignment="1">
      <alignment horizontal="center" vertical="center"/>
    </xf>
    <xf numFmtId="0" fontId="0" fillId="34" borderId="0" xfId="0" applyFill="1" applyAlignment="1">
      <alignment horizontal="center" vertical="center"/>
    </xf>
    <xf numFmtId="2" fontId="0" fillId="34" borderId="0" xfId="0" applyNumberFormat="1" applyFill="1" applyBorder="1" applyAlignment="1">
      <alignment horizontal="center" vertical="center" wrapText="1"/>
    </xf>
  </cellXfs>
  <cellStyles count="3">
    <cellStyle name="Hyperlink" xfId="1" builtinId="8"/>
    <cellStyle name="Normal" xfId="0" builtinId="0"/>
    <cellStyle name="Percent" xfId="2" builtinId="5"/>
  </cellStyles>
  <dxfs count="6">
    <dxf>
      <font>
        <b/>
        <color rgb="FFC00000"/>
      </font>
      <fill>
        <patternFill>
          <bgColor rgb="FFFFC7CE"/>
        </patternFill>
      </fill>
    </dxf>
    <dxf>
      <font>
        <b/>
        <color rgb="FFBF9000"/>
      </font>
      <fill>
        <patternFill>
          <bgColor rgb="FFFFEB9C"/>
        </patternFill>
      </fill>
    </dxf>
    <dxf>
      <font>
        <b/>
        <color rgb="FF2E7D32"/>
      </font>
      <fill>
        <patternFill>
          <bgColor rgb="FFC6EFCE"/>
        </patternFill>
      </fill>
    </dxf>
    <dxf>
      <font>
        <b/>
        <color rgb="FFC00000"/>
      </font>
      <fill>
        <patternFill>
          <bgColor rgb="FFFFC7CE"/>
        </patternFill>
      </fill>
    </dxf>
    <dxf>
      <font>
        <b/>
        <color rgb="FFBF9000"/>
      </font>
      <fill>
        <patternFill>
          <bgColor rgb="FFFFEB9C"/>
        </patternFill>
      </fill>
    </dxf>
    <dxf>
      <font>
        <b/>
        <color rgb="FF2E7D32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ACB"/>
      <rgbColor rgb="FFE2F0D9"/>
      <rgbColor rgb="FF660066"/>
      <rgbColor rgb="FFFF8080"/>
      <rgbColor rgb="FF2E5AA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1"/>
      <rgbColor rgb="FFC6EFCE"/>
      <rgbColor rgb="FFFFEB9C"/>
      <rgbColor rgb="FFB7B7B7"/>
      <rgbColor rgb="FFF8D7D3"/>
      <rgbColor rgb="FFE6E0EC"/>
      <rgbColor rgb="FFFFC7CE"/>
      <rgbColor rgb="FF4472C4"/>
      <rgbColor rgb="FF33CCCC"/>
      <rgbColor rgb="FF99CC00"/>
      <rgbColor rgb="FFFFCC00"/>
      <rgbColor rgb="FFBF9000"/>
      <rgbColor rgb="FFC97F0B"/>
      <rgbColor rgb="FF4F81BD"/>
      <rgbColor rgb="FFB3B3B3"/>
      <rgbColor rgb="FF1F3864"/>
      <rgbColor rgb="FF2E7D32"/>
      <rgbColor rgb="FF003300"/>
      <rgbColor rgb="FF333300"/>
      <rgbColor rgb="FFC0392B"/>
      <rgbColor rgb="FF993366"/>
      <rgbColor rgb="FF2E5395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00404"/>
      <color rgb="FFFF9966"/>
      <color rgb="FF00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Project Status Distribution</a:t>
            </a:r>
          </a:p>
        </c:rich>
      </c:tx>
      <c:overlay val="0"/>
      <c:spPr>
        <a:solidFill>
          <a:schemeClr val="accent6">
            <a:lumMod val="60000"/>
            <a:lumOff val="4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1F2-4068-BC92-5D407977671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1F2-4068-BC92-5D407977671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1F2-4068-BC92-5D407977671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A1F2-4068-BC92-5D407977671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1"/>
            <c:separator>
</c:separator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Dashboard!$B$12:$B$15</c:f>
              <c:strCache>
                <c:ptCount val="4"/>
                <c:pt idx="0">
                  <c:v>Achieved</c:v>
                </c:pt>
                <c:pt idx="1">
                  <c:v>On Track</c:v>
                </c:pt>
                <c:pt idx="2">
                  <c:v>Needs Attention</c:v>
                </c:pt>
                <c:pt idx="3">
                  <c:v>No Data</c:v>
                </c:pt>
              </c:strCache>
            </c:strRef>
          </c:cat>
          <c:val>
            <c:numRef>
              <c:f>Dashboard!$C$12:$C$15</c:f>
              <c:numCache>
                <c:formatCode>General</c:formatCode>
                <c:ptCount val="4"/>
                <c:pt idx="0">
                  <c:v>16</c:v>
                </c:pt>
                <c:pt idx="1">
                  <c:v>9</c:v>
                </c:pt>
                <c:pt idx="2">
                  <c:v>31</c:v>
                </c:pt>
                <c:pt idx="3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1F2-4068-BC92-5D4079776717}"/>
            </c:ext>
          </c:extLst>
        </c:ser>
        <c:dLbls>
          <c:dLblPos val="inEnd"/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Projects by Location / Unit</a:t>
            </a:r>
          </a:p>
        </c:rich>
      </c:tx>
      <c:overlay val="0"/>
      <c:spPr>
        <a:solidFill>
          <a:schemeClr val="accent6">
            <a:lumMod val="60000"/>
            <a:lumOff val="40000"/>
          </a:schemeClr>
        </a:solidFill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757495005288518"/>
          <c:y val="0.18347774943665873"/>
          <c:w val="0.78320572335174521"/>
          <c:h val="0.7072853766807104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Dashboard!$I$11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2E5AAC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</c:ext>
            </c:extLst>
          </c:dLbls>
          <c:cat>
            <c:strRef>
              <c:f>Dashboard!$H$12:$H$17</c:f>
              <c:strCache>
                <c:ptCount val="6"/>
                <c:pt idx="0">
                  <c:v>Unit-I</c:v>
                </c:pt>
                <c:pt idx="1">
                  <c:v>Unit-III</c:v>
                </c:pt>
                <c:pt idx="2">
                  <c:v>Unit-IV</c:v>
                </c:pt>
                <c:pt idx="3">
                  <c:v>HO</c:v>
                </c:pt>
                <c:pt idx="4">
                  <c:v>JSBIL</c:v>
                </c:pt>
                <c:pt idx="5">
                  <c:v>Mackeil</c:v>
                </c:pt>
              </c:strCache>
            </c:strRef>
          </c:cat>
          <c:val>
            <c:numRef>
              <c:f>Dashboard!$I$12:$I$17</c:f>
              <c:numCache>
                <c:formatCode>General</c:formatCode>
                <c:ptCount val="6"/>
                <c:pt idx="0">
                  <c:v>3</c:v>
                </c:pt>
                <c:pt idx="1">
                  <c:v>42</c:v>
                </c:pt>
                <c:pt idx="2">
                  <c:v>26</c:v>
                </c:pt>
                <c:pt idx="3">
                  <c:v>5</c:v>
                </c:pt>
                <c:pt idx="4">
                  <c:v>1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C1-44B0-B04B-3166C6D9DF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0473205"/>
        <c:axId val="4376121"/>
      </c:barChart>
      <c:catAx>
        <c:axId val="6047320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376121"/>
        <c:crosses val="autoZero"/>
        <c:auto val="1"/>
        <c:lblAlgn val="ctr"/>
        <c:lblOffset val="100"/>
        <c:noMultiLvlLbl val="0"/>
      </c:catAx>
      <c:valAx>
        <c:axId val="4376121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No. of Projects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0473205"/>
        <c:crosses val="autoZero"/>
        <c:crossBetween val="between"/>
      </c:valAx>
      <c:spPr>
        <a:solidFill>
          <a:schemeClr val="bg2"/>
        </a:solidFill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/>
            </a:pPr>
            <a:r>
              <a:rPr lang="en-IN"/>
              <a:t>Top Departments by Project Count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7410243823675812"/>
          <c:y val="0.24100893839545409"/>
          <c:w val="0.69172946801572999"/>
          <c:h val="0.5695904611068248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Dashboard!$C$18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tx2"/>
            </a:solid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vert="horz"/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Dashboard!$B$19:$B$30</c:f>
              <c:strCache>
                <c:ptCount val="12"/>
                <c:pt idx="0">
                  <c:v>Business Excellence</c:v>
                </c:pt>
                <c:pt idx="1">
                  <c:v>MBF Operation</c:v>
                </c:pt>
                <c:pt idx="2">
                  <c:v>Human Resource</c:v>
                </c:pt>
                <c:pt idx="3">
                  <c:v>Ferro Operations</c:v>
                </c:pt>
                <c:pt idx="4">
                  <c:v>Operation</c:v>
                </c:pt>
                <c:pt idx="5">
                  <c:v>DIP Mechanical</c:v>
                </c:pt>
                <c:pt idx="6">
                  <c:v>DRI</c:v>
                </c:pt>
                <c:pt idx="7">
                  <c:v>CPP Operations</c:v>
                </c:pt>
                <c:pt idx="8">
                  <c:v>DIP Marketing</c:v>
                </c:pt>
                <c:pt idx="9">
                  <c:v>Central Electrical</c:v>
                </c:pt>
                <c:pt idx="10">
                  <c:v>DIP Operation</c:v>
                </c:pt>
                <c:pt idx="11">
                  <c:v>RMHS Electrical</c:v>
                </c:pt>
              </c:strCache>
            </c:strRef>
          </c:cat>
          <c:val>
            <c:numRef>
              <c:f>Dashboard!$C$19:$C$30</c:f>
              <c:numCache>
                <c:formatCode>General</c:formatCode>
                <c:ptCount val="12"/>
                <c:pt idx="0">
                  <c:v>4</c:v>
                </c:pt>
                <c:pt idx="1">
                  <c:v>5</c:v>
                </c:pt>
                <c:pt idx="2">
                  <c:v>5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3</c:v>
                </c:pt>
                <c:pt idx="8">
                  <c:v>3</c:v>
                </c:pt>
                <c:pt idx="9">
                  <c:v>2</c:v>
                </c:pt>
                <c:pt idx="10">
                  <c:v>1</c:v>
                </c:pt>
                <c:pt idx="1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66-4352-8E71-DD797AF4C2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27"/>
        <c:overlap val="-48"/>
        <c:axId val="75336154"/>
        <c:axId val="73978797"/>
      </c:barChart>
      <c:catAx>
        <c:axId val="75336154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/>
                </a:pPr>
                <a:r>
                  <a:rPr lang="en-IN"/>
                  <a:t>Department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73978797"/>
        <c:crosses val="autoZero"/>
        <c:auto val="1"/>
        <c:lblAlgn val="ctr"/>
        <c:lblOffset val="100"/>
        <c:noMultiLvlLbl val="0"/>
      </c:catAx>
      <c:valAx>
        <c:axId val="7397879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/>
                </a:pPr>
                <a:r>
                  <a:rPr lang="en-IN"/>
                  <a:t>No. of Projects</a:t>
                </a:r>
              </a:p>
            </c:rich>
          </c:tx>
          <c:layout>
            <c:manualLayout>
              <c:xMode val="edge"/>
              <c:yMode val="edge"/>
              <c:x val="0.45392515944374334"/>
              <c:y val="0.89041641830115936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75336154"/>
        <c:crosses val="autoZero"/>
        <c:crossBetween val="between"/>
      </c:valAx>
      <c:spPr>
        <a:solidFill>
          <a:schemeClr val="accent5">
            <a:lumMod val="20000"/>
            <a:lumOff val="80000"/>
          </a:schemeClr>
        </a:solidFill>
        <a:ln>
          <a:noFill/>
        </a:ln>
        <a:effectLst/>
      </c:spPr>
    </c:plotArea>
    <c:plotVisOnly val="1"/>
    <c:dispBlanksAs val="gap"/>
    <c:showDLblsOverMax val="1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72" panose="020B0503030000000003" pitchFamily="34" charset="0"/>
          <a:cs typeface="72" panose="020B0503030000000003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chemeClr val="tx2"/>
                </a:solidFill>
              </a:rPr>
              <a:t>Projects by Batch</a:t>
            </a:r>
          </a:p>
        </c:rich>
      </c:tx>
      <c:overlay val="0"/>
      <c:spPr>
        <a:solidFill>
          <a:schemeClr val="accent6">
            <a:lumMod val="60000"/>
            <a:lumOff val="4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4A9-47D6-A50A-0F412A6053B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4A9-47D6-A50A-0F412A6053B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1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Dashboard!$E$12:$E$13</c:f>
              <c:strCache>
                <c:ptCount val="2"/>
                <c:pt idx="0">
                  <c:v>Batch I</c:v>
                </c:pt>
                <c:pt idx="1">
                  <c:v>Batch II</c:v>
                </c:pt>
              </c:strCache>
            </c:strRef>
          </c:cat>
          <c:val>
            <c:numRef>
              <c:f>Dashboard!$F$12:$F$13</c:f>
              <c:numCache>
                <c:formatCode>General</c:formatCode>
                <c:ptCount val="2"/>
                <c:pt idx="0">
                  <c:v>33</c:v>
                </c:pt>
                <c:pt idx="1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4A9-47D6-A50A-0F412A6053BD}"/>
            </c:ext>
          </c:extLst>
        </c:ser>
        <c:dLbls>
          <c:dLblPos val="inEnd"/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135466</xdr:colOff>
      <xdr:row>32</xdr:row>
      <xdr:rowOff>59267</xdr:rowOff>
    </xdr:from>
    <xdr:to>
      <xdr:col>3</xdr:col>
      <xdr:colOff>468085</xdr:colOff>
      <xdr:row>47</xdr:row>
      <xdr:rowOff>160867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897467</xdr:colOff>
      <xdr:row>32</xdr:row>
      <xdr:rowOff>0</xdr:rowOff>
    </xdr:from>
    <xdr:to>
      <xdr:col>12</xdr:col>
      <xdr:colOff>59267</xdr:colOff>
      <xdr:row>47</xdr:row>
      <xdr:rowOff>118533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491066</xdr:colOff>
      <xdr:row>32</xdr:row>
      <xdr:rowOff>16935</xdr:rowOff>
    </xdr:from>
    <xdr:to>
      <xdr:col>6</xdr:col>
      <xdr:colOff>1092199</xdr:colOff>
      <xdr:row>47</xdr:row>
      <xdr:rowOff>160867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25400</xdr:colOff>
      <xdr:row>32</xdr:row>
      <xdr:rowOff>16934</xdr:rowOff>
    </xdr:from>
    <xdr:to>
      <xdr:col>8</xdr:col>
      <xdr:colOff>889000</xdr:colOff>
      <xdr:row>47</xdr:row>
      <xdr:rowOff>143934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../1.SSBB%20Projects/SSBB%20Batch%20II/Unit%20IV/Sailesh%20singh%20yadav/SSBB%20Project%20-Shailesh%20singh.xlsx" TargetMode="External"/><Relationship Id="rId18" Type="http://schemas.openxmlformats.org/officeDocument/2006/relationships/hyperlink" Target="../1.SSBB%20Projects/SSBB%20Batch%20II/Unit%20III/MBF/Pushpendu%20sir/SSBB%20Project%20-Puspendu%20Ganguly.xlsx" TargetMode="External"/><Relationship Id="rId26" Type="http://schemas.openxmlformats.org/officeDocument/2006/relationships/hyperlink" Target="../1.SSBB%20Projects/SSBB%20Batch%20II/Unit%20III/Sinter/Somnath%20Sir/SSSBB%20Project%20-Somnath%20Patra.xlsx" TargetMode="External"/><Relationship Id="rId39" Type="http://schemas.openxmlformats.org/officeDocument/2006/relationships/hyperlink" Target="../1.SSBB%20Projects/SSBB%20Batch%20II/Unit%20III/DIP/SSBB%20Project%20-Nagesh%20kumar.xlsx" TargetMode="External"/><Relationship Id="rId21" Type="http://schemas.openxmlformats.org/officeDocument/2006/relationships/hyperlink" Target="../1.SSBB%20Projects/SSBB%20Batch%20I/Unit%20III/MBF/S.%20Das/SSBB%20Project-S.Das.xlsx" TargetMode="External"/><Relationship Id="rId34" Type="http://schemas.openxmlformats.org/officeDocument/2006/relationships/hyperlink" Target="../1.SSBB%20Projects/SSBB%20Batch%20II/Unit%20IV/Power%20plant/Arijeet%20Mandal/SSBB%20Project%20-Arijit%20Mandal.xlsx" TargetMode="External"/><Relationship Id="rId42" Type="http://schemas.openxmlformats.org/officeDocument/2006/relationships/hyperlink" Target="../1.SSBB%20Projects/SSBB%20Batch%20I/Unit%20III/MBF/Anupam%20Basak/SSBB%20Project%20-Anupam%20Basak.xlsx" TargetMode="External"/><Relationship Id="rId47" Type="http://schemas.openxmlformats.org/officeDocument/2006/relationships/hyperlink" Target="../1.SSBB%20Projects/SSBB%20Batch%20II/Unit%20III/Safety/SSBB%20Project%20-Manoj%20kr.xlsx" TargetMode="External"/><Relationship Id="rId50" Type="http://schemas.openxmlformats.org/officeDocument/2006/relationships/hyperlink" Target="../1.SSBB%20Projects/SSBB%20Batch%20I/Ferro%20unit%20I/Akram%20imran%20unit-1/SSBB%20Project%20-Akram.xlsm" TargetMode="External"/><Relationship Id="rId7" Type="http://schemas.openxmlformats.org/officeDocument/2006/relationships/hyperlink" Target="../1.SSBB%20Projects/SSBB%20Batch%20II/Unit%20III/Coke%20Oven/Molay%20Pan/SSBB%20Project-Moloy%20Pan.xlsx" TargetMode="External"/><Relationship Id="rId2" Type="http://schemas.openxmlformats.org/officeDocument/2006/relationships/hyperlink" Target="../1.SSBB%20Projects/SSBB%20Batch%20I/Ferro%20unit%20I/Manas%20Mukherjee/SSBB%20-Manas%20Mukherjee.xlsx" TargetMode="External"/><Relationship Id="rId16" Type="http://schemas.openxmlformats.org/officeDocument/2006/relationships/hyperlink" Target="../1.SSBB%20Projects/SSBB%20Batch%20I/unit%20IV/Sanjay%20Nayak/SSBB%20Project%20-%20Sanjay%20Nayak.xlsx" TargetMode="External"/><Relationship Id="rId29" Type="http://schemas.openxmlformats.org/officeDocument/2006/relationships/hyperlink" Target="../1.SSBB%20Projects/SSBB%20Batch%20I/unit%20IV/Sugyan%20dora/SSBB%20Project-%20Dora%20sir.xlsx" TargetMode="External"/><Relationship Id="rId11" Type="http://schemas.openxmlformats.org/officeDocument/2006/relationships/hyperlink" Target="../1.SSBB%20Projects/SSBB%20Batch%20II/Unit%20III/RM%20Yard/Prasanta%20Karmakar/SSBB%20Project-Prasanta%20Karmakar.xlsx" TargetMode="External"/><Relationship Id="rId24" Type="http://schemas.openxmlformats.org/officeDocument/2006/relationships/hyperlink" Target="../1.SSBB%20Projects/SSBB%20Batch%20I/Unit%20III/DIP/SSBB%20Project%20-Prithwis%20Bhattacharya.xlsx" TargetMode="External"/><Relationship Id="rId32" Type="http://schemas.openxmlformats.org/officeDocument/2006/relationships/hyperlink" Target="../1.SSBB%20Projects/SSBB%20Batch%20II/Unit%20IV/Power%20plant/Dependra%20kr/SSBB%20Project-Dependra%20kr.xlsx" TargetMode="External"/><Relationship Id="rId37" Type="http://schemas.openxmlformats.org/officeDocument/2006/relationships/hyperlink" Target="../1.SSBB%20Projects/SSBB%20Batch%20II/Unit%20IV/Surajit%20Thakur%20LCFC/SSBB%20Project-%20Surajit%20Thakur.xlsx" TargetMode="External"/><Relationship Id="rId40" Type="http://schemas.openxmlformats.org/officeDocument/2006/relationships/hyperlink" Target="../1.SSBB%20Projects/SSBB%20Batch%20II/Unit%20III/Admin/Pankaj%20Dubey/SSBB%20Project%20-Pankaj%20Dubey.xlsx" TargetMode="External"/><Relationship Id="rId45" Type="http://schemas.openxmlformats.org/officeDocument/2006/relationships/hyperlink" Target="../1.SSBB%20Projects/SSBB%20Batch%20I/Unit%20III/Coke%20Oven/Dinda%20Sir/SSBB%20Project-BB%20Dinda.xlsx" TargetMode="External"/><Relationship Id="rId53" Type="http://schemas.openxmlformats.org/officeDocument/2006/relationships/comments" Target="../comments1.xml"/><Relationship Id="rId5" Type="http://schemas.openxmlformats.org/officeDocument/2006/relationships/hyperlink" Target="../1.SSBB%20Projects/SSBB%20Batch%20I/Unit%20III/RMHS/Sandeepan%20Ghosh/SSBB%20Project-Sandeepan%20Ghosh.xlsx" TargetMode="External"/><Relationship Id="rId10" Type="http://schemas.openxmlformats.org/officeDocument/2006/relationships/hyperlink" Target="../1.SSBB%20Projects/SSBB%20Batch%20II/Unit%20III/RM%20Yard/Prasanta%20Karmakar/SSBB%20Project-Prasanta%20Karmakar.xlsx" TargetMode="External"/><Relationship Id="rId19" Type="http://schemas.openxmlformats.org/officeDocument/2006/relationships/hyperlink" Target="../1.SSBB%20Projects/SSBB%20Batch%20I/Unit%20III/MBF/S.%20Das/SSBB%20Project-S.Das.xlsx" TargetMode="External"/><Relationship Id="rId31" Type="http://schemas.openxmlformats.org/officeDocument/2006/relationships/hyperlink" Target="../1.SSBB%20Projects/SSBB%20Batch%20I/unit%20IV/Sugyan%20dora/SSBB%20Project-%20Dora%20sir.xlsx" TargetMode="External"/><Relationship Id="rId44" Type="http://schemas.openxmlformats.org/officeDocument/2006/relationships/hyperlink" Target="../1.SSBB%20Projects/SSBB%20Batch%20II/Unit%20III/MBF/Nagendra%20singh/SSBB%20Project%20(Nagendra%20Singh)%20-Actual.xlsx" TargetMode="External"/><Relationship Id="rId52" Type="http://schemas.openxmlformats.org/officeDocument/2006/relationships/vmlDrawing" Target="../drawings/vmlDrawing1.vml"/><Relationship Id="rId4" Type="http://schemas.openxmlformats.org/officeDocument/2006/relationships/hyperlink" Target="../1.SSBB%20Projects/SSBB%20Batch%20I/Unit%20III/RMHS/Sandeepan%20Ghosh/SSBB%20Project-Sandeepan%20Ghosh.xlsx" TargetMode="External"/><Relationship Id="rId9" Type="http://schemas.openxmlformats.org/officeDocument/2006/relationships/hyperlink" Target="../1.SSBB%20Projects/SSBB%20Batch%20II/Unit%20III/Sinter/Harsh%20Sir/SSBB%20Project-Harsh%20Sinter.xlsx" TargetMode="External"/><Relationship Id="rId14" Type="http://schemas.openxmlformats.org/officeDocument/2006/relationships/hyperlink" Target="../1.SSBB%20Projects/SSBB%20Batch%20II/Unit%20IV/Sailesh%20singh%20yadav/SSBB%20Project%20-Shailesh%20singh.xlsx" TargetMode="External"/><Relationship Id="rId22" Type="http://schemas.openxmlformats.org/officeDocument/2006/relationships/hyperlink" Target="../1.SSBB%20Projects/SSBB%20Batch%20I/Unit%20III/DIP/SSBB%20Project%20-Prithwis%20Bhattacharya.xlsx" TargetMode="External"/><Relationship Id="rId27" Type="http://schemas.openxmlformats.org/officeDocument/2006/relationships/hyperlink" Target="../1.SSBB%20Projects/SSBB%20Batch%20I/Unit%20III/Coke%20Oven/SOM%20Sir/SSBB%20project%20(SOM%20sir).xlsx" TargetMode="External"/><Relationship Id="rId30" Type="http://schemas.openxmlformats.org/officeDocument/2006/relationships/hyperlink" Target="../1.SSBB%20Projects/SSBB%20Batch%20I/unit%20IV/Sugyan%20dora/SSBB%20Project-%20Dora%20sir.xlsx" TargetMode="External"/><Relationship Id="rId35" Type="http://schemas.openxmlformats.org/officeDocument/2006/relationships/hyperlink" Target="../1.SSBB%20Projects/SSBB%20Batch%20I/unit%20IV/Arun%20Thatoi/Arun%20Thatoi%20SSBB%20File.xlsx" TargetMode="External"/><Relationship Id="rId43" Type="http://schemas.openxmlformats.org/officeDocument/2006/relationships/hyperlink" Target="../1.SSBB%20Projects/SSBB%20Batch%20I/Mackeil/Atish%20Gupta/SSBB%20-%20Atish%20Gupta_Final.xlsx" TargetMode="External"/><Relationship Id="rId48" Type="http://schemas.openxmlformats.org/officeDocument/2006/relationships/hyperlink" Target="../1.SSBB%20Projects/SSBB%20Batch%20I/Unit%20III/Admin/Prakash%20joshi%20sir%20HR/SSBB%20-Prakash%20Joshi.xlsx" TargetMode="External"/><Relationship Id="rId8" Type="http://schemas.openxmlformats.org/officeDocument/2006/relationships/hyperlink" Target="../1.SSBB%20Projects/SSBB%20Batch%20II/Unit%20III/Sinter/Harsh%20Sir/SSBB%20Project-Harsh%20Sinter.xlsx" TargetMode="External"/><Relationship Id="rId51" Type="http://schemas.openxmlformats.org/officeDocument/2006/relationships/printerSettings" Target="../printerSettings/printerSettings2.bin"/><Relationship Id="rId3" Type="http://schemas.openxmlformats.org/officeDocument/2006/relationships/hyperlink" Target="../1.SSBB%20Projects/SSBB%20Batch%20I/Unit%20III/Admin/Ravindra%20Meherwal/SSBB%20Project%20-Ravindra%20Meherwal-LCFC.xlsx" TargetMode="External"/><Relationship Id="rId12" Type="http://schemas.openxmlformats.org/officeDocument/2006/relationships/hyperlink" Target="../1.SSBB%20Projects/SSBB%20Batch%20II/Unit%20IV/Sailesh%20singh%20yadav/SSBB%20Project%20-Shailesh%20singh.xlsx" TargetMode="External"/><Relationship Id="rId17" Type="http://schemas.openxmlformats.org/officeDocument/2006/relationships/hyperlink" Target="../1.SSBB%20Projects/SSBB%20Batch%20I/unit%20IV/Sanjay%20Nayak/SSBB%20Project%20-%20Sanjay%20Nayak.xlsx" TargetMode="External"/><Relationship Id="rId25" Type="http://schemas.openxmlformats.org/officeDocument/2006/relationships/hyperlink" Target="../1.SSBB%20Projects/SSBB%20Batch%20I/Unit%20III/DIP/SSBB%20Project%20-Prithwis%20Bhattacharya.xlsx" TargetMode="External"/><Relationship Id="rId33" Type="http://schemas.openxmlformats.org/officeDocument/2006/relationships/hyperlink" Target="../1.SSBB%20Projects/SSBB%20Batch%20I/Power%20Plant/SSBB%20Project%20-%20Papan%20Nayak.xlsx" TargetMode="External"/><Relationship Id="rId38" Type="http://schemas.openxmlformats.org/officeDocument/2006/relationships/hyperlink" Target="../1.SSBB%20Projects/SSBB%20Batch%20II/Unit%20III/Admin/Biswanath%20Benerjee/SSBB%20Project%20-Biswanath%20Banerjee.xlsx" TargetMode="External"/><Relationship Id="rId46" Type="http://schemas.openxmlformats.org/officeDocument/2006/relationships/hyperlink" Target="../1.SSBB%20Projects/SSBB%20Batch%20I/unit%20IV/Gourav%20sarkar/IH%20Power%20reduce.xlsx" TargetMode="External"/><Relationship Id="rId20" Type="http://schemas.openxmlformats.org/officeDocument/2006/relationships/hyperlink" Target="../1.SSBB%20Projects/SSBB%20Batch%20I/Unit%20III/MBF/S.%20Das/SSBB%20Project-S.Das.xlsx" TargetMode="External"/><Relationship Id="rId41" Type="http://schemas.openxmlformats.org/officeDocument/2006/relationships/hyperlink" Target="../1.SSBB%20Projects/SSBB%20Batch%20II/JSBIL/Suman%20Majumder/SSBB%20Project%20-Suman%20Majumder.xlsx" TargetMode="External"/><Relationship Id="rId1" Type="http://schemas.openxmlformats.org/officeDocument/2006/relationships/hyperlink" Target="../1.SSBB%20Projects/SSBB%20Batch%20I/Unit%20III/DIP/SSBB%20Project%20-Sandip%20Sil,%20Ambika%20Sahoo.xlsx" TargetMode="External"/><Relationship Id="rId6" Type="http://schemas.openxmlformats.org/officeDocument/2006/relationships/hyperlink" Target="../1.SSBB%20Projects/SSBB%20Batch%20I/Unit%20III/Sinter/Binoy%20sir/SSBB%20Project%20-Binoy%20Vishwakarma.xlsx" TargetMode="External"/><Relationship Id="rId15" Type="http://schemas.openxmlformats.org/officeDocument/2006/relationships/hyperlink" Target="../1.SSBB%20Projects/SSBB%20Batch%20I/unit%20IV/Sanjay%20Nayak/SSBB%20Project%20-%20Sanjay%20Nayak.xlsx" TargetMode="External"/><Relationship Id="rId23" Type="http://schemas.openxmlformats.org/officeDocument/2006/relationships/hyperlink" Target="../1.SSBB%20Projects/SSBB%20Batch%20I/Unit%20III/DIP/SSBB%20Project%20-Prithwis%20Bhattacharya.xlsx" TargetMode="External"/><Relationship Id="rId28" Type="http://schemas.openxmlformats.org/officeDocument/2006/relationships/hyperlink" Target="../1.SSBB%20Projects/SSBB%20Batch%20I/unit%20IV/Sugyan%20dora/SSBB%20Project-%20Dora%20sir.xlsx" TargetMode="External"/><Relationship Id="rId36" Type="http://schemas.openxmlformats.org/officeDocument/2006/relationships/hyperlink" Target="../1.SSBB%20Projects/SSBB%20Batch%20I/unit%20IV/Gautam%20patel/SSBB%20project%20-Gautam%20patel.xlsx" TargetMode="External"/><Relationship Id="rId49" Type="http://schemas.openxmlformats.org/officeDocument/2006/relationships/hyperlink" Target="../1.SSBB%20Projects/SSBB%20Batch%20II/Unit%20III/Coke%20Oven/BK%20Mishra/six%20sigma%20project.xlsx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</sheetPr>
  <dimension ref="B1:M73"/>
  <sheetViews>
    <sheetView showGridLines="0" zoomScale="90" zoomScaleNormal="90" workbookViewId="0">
      <pane xSplit="1" ySplit="4" topLeftCell="B26" activePane="bottomRight" state="frozen"/>
      <selection activeCell="F1" sqref="F1"/>
      <selection pane="topRight" activeCell="F1" sqref="F1"/>
      <selection pane="bottomLeft" activeCell="F1" sqref="F1"/>
      <selection pane="bottomRight" activeCell="D16" sqref="D16"/>
    </sheetView>
  </sheetViews>
  <sheetFormatPr defaultColWidth="8.6640625" defaultRowHeight="14.4" x14ac:dyDescent="0.3"/>
  <cols>
    <col min="1" max="1" width="2" customWidth="1"/>
    <col min="2" max="2" width="20.6640625" customWidth="1"/>
    <col min="3" max="3" width="24.5546875" customWidth="1"/>
    <col min="4" max="4" width="16" customWidth="1"/>
    <col min="5" max="5" width="31.109375" customWidth="1"/>
    <col min="6" max="7" width="16" customWidth="1"/>
    <col min="8" max="8" width="25.33203125" customWidth="1"/>
    <col min="9" max="9" width="18.109375" customWidth="1"/>
    <col min="10" max="10" width="16" customWidth="1"/>
    <col min="11" max="11" width="3.6640625" customWidth="1"/>
    <col min="12" max="12" width="24" customWidth="1"/>
    <col min="13" max="13" width="2" customWidth="1"/>
  </cols>
  <sheetData>
    <row r="1" spans="2:13" ht="15" thickBot="1" x14ac:dyDescent="0.35">
      <c r="D1" s="130"/>
    </row>
    <row r="2" spans="2:13" ht="25.5" customHeight="1" x14ac:dyDescent="0.3">
      <c r="B2" s="338" t="s">
        <v>0</v>
      </c>
      <c r="C2" s="339"/>
      <c r="D2" s="339"/>
      <c r="E2" s="339"/>
      <c r="F2" s="339"/>
      <c r="G2" s="339"/>
      <c r="H2" s="339"/>
      <c r="I2" s="339"/>
      <c r="J2" s="339"/>
      <c r="K2" s="339"/>
      <c r="L2" s="339"/>
      <c r="M2" s="340"/>
    </row>
    <row r="3" spans="2:13" ht="18" customHeight="1" x14ac:dyDescent="0.3">
      <c r="B3" s="359" t="s">
        <v>1</v>
      </c>
      <c r="C3" s="360"/>
      <c r="D3" s="360"/>
      <c r="E3" s="360"/>
      <c r="F3" s="360"/>
      <c r="G3" s="360"/>
      <c r="H3" s="360"/>
      <c r="I3" s="360"/>
      <c r="J3" s="360"/>
      <c r="K3" s="360"/>
      <c r="L3" s="360"/>
      <c r="M3" s="361"/>
    </row>
    <row r="4" spans="2:13" ht="7.5" customHeight="1" x14ac:dyDescent="0.3">
      <c r="B4" s="132"/>
      <c r="M4" s="131"/>
    </row>
    <row r="5" spans="2:13" ht="27.6" customHeight="1" x14ac:dyDescent="0.3">
      <c r="B5" s="368" t="s">
        <v>2</v>
      </c>
      <c r="C5" s="369"/>
      <c r="D5" s="370" t="s">
        <v>3</v>
      </c>
      <c r="E5" s="370"/>
      <c r="F5" s="371" t="s">
        <v>4</v>
      </c>
      <c r="G5" s="371"/>
      <c r="H5" s="372" t="s">
        <v>5</v>
      </c>
      <c r="I5" s="372"/>
      <c r="J5" s="373" t="s">
        <v>6</v>
      </c>
      <c r="K5" s="373"/>
      <c r="L5" s="357" t="s">
        <v>7</v>
      </c>
      <c r="M5" s="358"/>
    </row>
    <row r="6" spans="2:13" ht="30" customHeight="1" x14ac:dyDescent="0.3">
      <c r="B6" s="354">
        <f>COUNT('Project Tracking'!$A$6:$A$84)</f>
        <v>78</v>
      </c>
      <c r="C6" s="355"/>
      <c r="D6" s="356">
        <f>COUNTIF('Project Tracking'!$X$6:$X$84,"Achieved")</f>
        <v>16</v>
      </c>
      <c r="E6" s="356"/>
      <c r="F6" s="365">
        <f>COUNTIF('Project Tracking'!$X$6:$X$84,"On Track")</f>
        <v>9</v>
      </c>
      <c r="G6" s="365"/>
      <c r="H6" s="366">
        <f>COUNTIF('Project Tracking'!$X$6:$X$84,"Needs Attention")</f>
        <v>31</v>
      </c>
      <c r="I6" s="366"/>
      <c r="J6" s="367">
        <f>COUNTIF('Project Tracking'!$X$6:$X$84,"No Data")</f>
        <v>22</v>
      </c>
      <c r="K6" s="367"/>
      <c r="L6" s="345">
        <f>IFERROR(COUNTIF('Project Tracking'!$X$6:$X$84,"Achieved")/COUNT('Project Tracking'!$A$6:$A$84),0)</f>
        <v>0.20512820512820512</v>
      </c>
      <c r="M6" s="346"/>
    </row>
    <row r="7" spans="2:13" ht="13.5" customHeight="1" x14ac:dyDescent="0.3">
      <c r="B7" s="347"/>
      <c r="C7" s="348"/>
      <c r="D7" s="349"/>
      <c r="E7" s="349"/>
      <c r="F7" s="348"/>
      <c r="G7" s="348"/>
      <c r="H7" s="350"/>
      <c r="I7" s="350"/>
      <c r="J7" s="351"/>
      <c r="K7" s="351"/>
      <c r="L7" s="352"/>
      <c r="M7" s="353"/>
    </row>
    <row r="8" spans="2:13" ht="9.75" customHeight="1" x14ac:dyDescent="0.3">
      <c r="B8" s="132"/>
      <c r="M8" s="131"/>
    </row>
    <row r="9" spans="2:13" x14ac:dyDescent="0.3">
      <c r="B9" s="132"/>
      <c r="M9" s="131"/>
    </row>
    <row r="10" spans="2:13" ht="25.2" customHeight="1" x14ac:dyDescent="0.3">
      <c r="B10" s="343" t="s">
        <v>8</v>
      </c>
      <c r="C10" s="344"/>
      <c r="E10" s="344" t="s">
        <v>9</v>
      </c>
      <c r="F10" s="344"/>
      <c r="H10" s="133" t="s">
        <v>10</v>
      </c>
      <c r="I10" s="133"/>
      <c r="M10" s="131"/>
    </row>
    <row r="11" spans="2:13" ht="25.2" customHeight="1" x14ac:dyDescent="0.3">
      <c r="B11" s="134" t="s">
        <v>11</v>
      </c>
      <c r="C11" s="1" t="s">
        <v>12</v>
      </c>
      <c r="E11" s="1" t="s">
        <v>13</v>
      </c>
      <c r="F11" s="1" t="s">
        <v>12</v>
      </c>
      <c r="H11" s="1" t="s">
        <v>14</v>
      </c>
      <c r="I11" s="1" t="s">
        <v>12</v>
      </c>
      <c r="M11" s="131"/>
    </row>
    <row r="12" spans="2:13" ht="25.2" customHeight="1" x14ac:dyDescent="0.3">
      <c r="B12" s="135" t="s">
        <v>15</v>
      </c>
      <c r="C12" s="2">
        <f>COUNTIF('Project Tracking'!$X$6:$X$84,"Achieved")</f>
        <v>16</v>
      </c>
      <c r="E12" s="3" t="s">
        <v>16</v>
      </c>
      <c r="F12" s="4">
        <f>COUNTIF('Project Tracking'!$B$6:$B$84,"I")</f>
        <v>33</v>
      </c>
      <c r="H12" s="3" t="s">
        <v>17</v>
      </c>
      <c r="I12" s="4">
        <f>SUMPRODUCT(--(TRIM('Project Tracking'!$E$6:$E$84)=H12))</f>
        <v>3</v>
      </c>
      <c r="M12" s="131"/>
    </row>
    <row r="13" spans="2:13" ht="25.2" customHeight="1" x14ac:dyDescent="0.3">
      <c r="B13" s="136" t="s">
        <v>18</v>
      </c>
      <c r="C13" s="5">
        <f>COUNTIF('Project Tracking'!$X$6:$X$84,"On Track")</f>
        <v>9</v>
      </c>
      <c r="E13" s="6" t="s">
        <v>19</v>
      </c>
      <c r="F13" s="7">
        <f>COUNTIF('Project Tracking'!$B$6:$B$84,"II")</f>
        <v>46</v>
      </c>
      <c r="H13" s="6" t="s">
        <v>20</v>
      </c>
      <c r="I13" s="7">
        <f>SUMPRODUCT(--(TRIM('Project Tracking'!$E$6:$E$84)=H13))</f>
        <v>42</v>
      </c>
      <c r="M13" s="131"/>
    </row>
    <row r="14" spans="2:13" ht="25.2" customHeight="1" x14ac:dyDescent="0.3">
      <c r="B14" s="137" t="s">
        <v>21</v>
      </c>
      <c r="C14" s="8">
        <f>COUNTIF('Project Tracking'!$X$6:$X$84,"Needs Attention")</f>
        <v>31</v>
      </c>
      <c r="H14" s="3" t="s">
        <v>22</v>
      </c>
      <c r="I14" s="4">
        <f>SUMPRODUCT(--(TRIM('Project Tracking'!$E$6:$E$84)=H14))</f>
        <v>26</v>
      </c>
      <c r="M14" s="131"/>
    </row>
    <row r="15" spans="2:13" ht="25.2" customHeight="1" x14ac:dyDescent="0.3">
      <c r="B15" s="138" t="s">
        <v>23</v>
      </c>
      <c r="C15" s="9">
        <f>COUNTIF('Project Tracking'!$X$6:$X$84,"No Data")</f>
        <v>22</v>
      </c>
      <c r="H15" s="6" t="s">
        <v>24</v>
      </c>
      <c r="I15" s="7">
        <f>SUMPRODUCT(--(TRIM('Project Tracking'!$E$6:$E$84)=H15))</f>
        <v>5</v>
      </c>
      <c r="M15" s="131"/>
    </row>
    <row r="16" spans="2:13" ht="18.600000000000001" customHeight="1" x14ac:dyDescent="0.3">
      <c r="B16" s="132"/>
      <c r="H16" s="3" t="s">
        <v>25</v>
      </c>
      <c r="I16" s="4">
        <f>SUMPRODUCT(--(TRIM('Project Tracking'!$E$6:$E$84)=H16))</f>
        <v>1</v>
      </c>
      <c r="M16" s="131"/>
    </row>
    <row r="17" spans="2:13" ht="21.6" customHeight="1" x14ac:dyDescent="0.3">
      <c r="B17" s="374" t="s">
        <v>27</v>
      </c>
      <c r="C17" s="341"/>
      <c r="H17" s="6" t="s">
        <v>26</v>
      </c>
      <c r="I17" s="7">
        <f>SUMPRODUCT(--(TRIM('Project Tracking'!$E$6:$E$84)=H17))</f>
        <v>2</v>
      </c>
      <c r="M17" s="131"/>
    </row>
    <row r="18" spans="2:13" ht="19.2" customHeight="1" x14ac:dyDescent="0.3">
      <c r="B18" s="134" t="s">
        <v>29</v>
      </c>
      <c r="C18" s="1" t="s">
        <v>12</v>
      </c>
      <c r="E18" s="341" t="s">
        <v>28</v>
      </c>
      <c r="F18" s="341"/>
      <c r="M18" s="131"/>
    </row>
    <row r="19" spans="2:13" ht="21" customHeight="1" x14ac:dyDescent="0.3">
      <c r="B19" s="139" t="s">
        <v>31</v>
      </c>
      <c r="C19" s="4">
        <f>SUMPRODUCT(--(TRIM('Project Tracking'!$F$6:$F$84)=B19))</f>
        <v>4</v>
      </c>
      <c r="E19" s="3" t="s">
        <v>30</v>
      </c>
      <c r="F19" s="10">
        <f>IFERROR(AVERAGE('Project Tracking'!$W$6:$W$84),0)</f>
        <v>0.37997077101718374</v>
      </c>
      <c r="M19" s="131"/>
    </row>
    <row r="20" spans="2:13" ht="21" customHeight="1" x14ac:dyDescent="0.3">
      <c r="B20" s="140" t="s">
        <v>33</v>
      </c>
      <c r="C20" s="7">
        <f>SUMPRODUCT(--(TRIM('Project Tracking'!$F$6:$F$84)=B20))</f>
        <v>5</v>
      </c>
      <c r="E20" s="6" t="s">
        <v>32</v>
      </c>
      <c r="F20" s="11">
        <f>IFERROR(MEDIAN('Project Tracking'!$W$6:$W$84),0)</f>
        <v>0.31987988400635003</v>
      </c>
      <c r="M20" s="131"/>
    </row>
    <row r="21" spans="2:13" ht="21" customHeight="1" x14ac:dyDescent="0.3">
      <c r="B21" s="139" t="s">
        <v>35</v>
      </c>
      <c r="C21" s="4">
        <f>SUMPRODUCT(--(TRIM('Project Tracking'!$F$6:$F$84)=B21))</f>
        <v>5</v>
      </c>
      <c r="E21" s="3" t="s">
        <v>34</v>
      </c>
      <c r="F21" s="12">
        <f>COUNTIF('Project Tracking'!$H$6:$H$84,"Increasing")</f>
        <v>38</v>
      </c>
      <c r="M21" s="131"/>
    </row>
    <row r="22" spans="2:13" ht="21" customHeight="1" x14ac:dyDescent="0.3">
      <c r="B22" s="140" t="s">
        <v>37</v>
      </c>
      <c r="C22" s="7">
        <f>SUMPRODUCT(--(TRIM('Project Tracking'!$F$6:$F$84)=B22))</f>
        <v>4</v>
      </c>
      <c r="E22" s="6" t="s">
        <v>36</v>
      </c>
      <c r="F22" s="13">
        <f>SUMPRODUCT((LEFT('Project Tracking'!$H$6:$H$84,4)="Decr")*1)</f>
        <v>38</v>
      </c>
      <c r="M22" s="131"/>
    </row>
    <row r="23" spans="2:13" ht="21" customHeight="1" x14ac:dyDescent="0.3">
      <c r="B23" s="139" t="s">
        <v>39</v>
      </c>
      <c r="C23" s="4">
        <f>SUMPRODUCT(--(TRIM('Project Tracking'!$F$6:$F$84)=B23))</f>
        <v>4</v>
      </c>
      <c r="E23" s="3" t="s">
        <v>38</v>
      </c>
      <c r="F23" s="12">
        <f>COUNT('Project Tracking'!$W$6:$W$84)</f>
        <v>56</v>
      </c>
      <c r="M23" s="131"/>
    </row>
    <row r="24" spans="2:13" ht="21" customHeight="1" x14ac:dyDescent="0.3">
      <c r="B24" s="140" t="s">
        <v>41</v>
      </c>
      <c r="C24" s="7">
        <f>SUMPRODUCT(--(TRIM('Project Tracking'!$F$6:$F$84)=B24))</f>
        <v>4</v>
      </c>
      <c r="E24" s="6" t="s">
        <v>40</v>
      </c>
      <c r="F24" s="13">
        <v>6</v>
      </c>
      <c r="M24" s="131"/>
    </row>
    <row r="25" spans="2:13" ht="21" customHeight="1" x14ac:dyDescent="0.3">
      <c r="B25" s="139" t="s">
        <v>43</v>
      </c>
      <c r="C25" s="4">
        <f>SUMPRODUCT(--(TRIM('Project Tracking'!$F$6:$F$84)=B25))</f>
        <v>4</v>
      </c>
      <c r="E25" s="3" t="s">
        <v>42</v>
      </c>
      <c r="F25" s="12">
        <v>42</v>
      </c>
      <c r="M25" s="131"/>
    </row>
    <row r="26" spans="2:13" x14ac:dyDescent="0.3">
      <c r="B26" s="140" t="s">
        <v>44</v>
      </c>
      <c r="C26" s="7">
        <f>SUMPRODUCT(--(TRIM('Project Tracking'!$F$6:$F$84)=B26))</f>
        <v>3</v>
      </c>
      <c r="M26" s="131"/>
    </row>
    <row r="27" spans="2:13" x14ac:dyDescent="0.3">
      <c r="B27" s="139" t="s">
        <v>45</v>
      </c>
      <c r="C27" s="4">
        <f>SUMPRODUCT(--(TRIM('Project Tracking'!$F$6:$F$84)=B27))</f>
        <v>3</v>
      </c>
      <c r="M27" s="131"/>
    </row>
    <row r="28" spans="2:13" x14ac:dyDescent="0.3">
      <c r="B28" s="140" t="s">
        <v>46</v>
      </c>
      <c r="C28" s="7">
        <f>SUMPRODUCT(--(TRIM('Project Tracking'!$F$6:$F$84)=B28))</f>
        <v>2</v>
      </c>
      <c r="M28" s="131"/>
    </row>
    <row r="29" spans="2:13" x14ac:dyDescent="0.3">
      <c r="B29" s="139" t="s">
        <v>47</v>
      </c>
      <c r="C29" s="4">
        <f>SUMPRODUCT(--(TRIM('Project Tracking'!$F$6:$F$84)=B29))</f>
        <v>1</v>
      </c>
      <c r="M29" s="131"/>
    </row>
    <row r="30" spans="2:13" x14ac:dyDescent="0.3">
      <c r="B30" s="140" t="s">
        <v>48</v>
      </c>
      <c r="C30" s="7">
        <f>SUMPRODUCT(--(TRIM('Project Tracking'!$F$6:$F$84)=B30))</f>
        <v>2</v>
      </c>
      <c r="M30" s="131"/>
    </row>
    <row r="31" spans="2:13" x14ac:dyDescent="0.3">
      <c r="B31" s="132"/>
      <c r="C31" s="141"/>
      <c r="M31" s="131"/>
    </row>
    <row r="32" spans="2:13" ht="19.5" customHeight="1" x14ac:dyDescent="0.3">
      <c r="B32" s="362" t="s">
        <v>49</v>
      </c>
      <c r="C32" s="363"/>
      <c r="D32" s="363"/>
      <c r="E32" s="363"/>
      <c r="F32" s="363"/>
      <c r="G32" s="363"/>
      <c r="H32" s="363"/>
      <c r="I32" s="363"/>
      <c r="J32" s="363"/>
      <c r="K32" s="363"/>
      <c r="L32" s="363"/>
      <c r="M32" s="364"/>
    </row>
    <row r="33" spans="2:13" x14ac:dyDescent="0.3">
      <c r="B33" s="132"/>
      <c r="M33" s="131"/>
    </row>
    <row r="34" spans="2:13" x14ac:dyDescent="0.3">
      <c r="B34" s="132"/>
      <c r="M34" s="131"/>
    </row>
    <row r="35" spans="2:13" x14ac:dyDescent="0.3">
      <c r="B35" s="132"/>
      <c r="M35" s="131"/>
    </row>
    <row r="36" spans="2:13" x14ac:dyDescent="0.3">
      <c r="B36" s="132"/>
      <c r="M36" s="131"/>
    </row>
    <row r="37" spans="2:13" x14ac:dyDescent="0.3">
      <c r="B37" s="132"/>
      <c r="M37" s="131"/>
    </row>
    <row r="38" spans="2:13" x14ac:dyDescent="0.3">
      <c r="B38" s="132"/>
      <c r="M38" s="131"/>
    </row>
    <row r="39" spans="2:13" x14ac:dyDescent="0.3">
      <c r="B39" s="132"/>
      <c r="M39" s="131"/>
    </row>
    <row r="40" spans="2:13" x14ac:dyDescent="0.3">
      <c r="B40" s="132"/>
      <c r="M40" s="131"/>
    </row>
    <row r="41" spans="2:13" x14ac:dyDescent="0.3">
      <c r="B41" s="132"/>
      <c r="M41" s="131"/>
    </row>
    <row r="42" spans="2:13" x14ac:dyDescent="0.3">
      <c r="B42" s="132"/>
      <c r="M42" s="131"/>
    </row>
    <row r="43" spans="2:13" x14ac:dyDescent="0.3">
      <c r="B43" s="132"/>
      <c r="M43" s="131"/>
    </row>
    <row r="44" spans="2:13" x14ac:dyDescent="0.3">
      <c r="B44" s="132"/>
      <c r="M44" s="131"/>
    </row>
    <row r="45" spans="2:13" x14ac:dyDescent="0.3">
      <c r="B45" s="132"/>
      <c r="M45" s="131"/>
    </row>
    <row r="46" spans="2:13" x14ac:dyDescent="0.3">
      <c r="B46" s="132"/>
      <c r="M46" s="131"/>
    </row>
    <row r="47" spans="2:13" x14ac:dyDescent="0.3">
      <c r="B47" s="132"/>
      <c r="M47" s="131"/>
    </row>
    <row r="48" spans="2:13" ht="15" thickBot="1" x14ac:dyDescent="0.35">
      <c r="B48" s="142"/>
      <c r="C48" s="143"/>
      <c r="D48" s="143"/>
      <c r="E48" s="143"/>
      <c r="F48" s="143"/>
      <c r="G48" s="143"/>
      <c r="H48" s="143"/>
      <c r="I48" s="143"/>
      <c r="J48" s="143"/>
      <c r="K48" s="143"/>
      <c r="L48" s="143"/>
      <c r="M48" s="144"/>
    </row>
    <row r="73" spans="2:12" ht="27.75" customHeight="1" x14ac:dyDescent="0.3">
      <c r="B73" s="342" t="s">
        <v>50</v>
      </c>
      <c r="C73" s="342"/>
      <c r="D73" s="342"/>
      <c r="E73" s="342"/>
      <c r="F73" s="342"/>
      <c r="G73" s="342"/>
      <c r="H73" s="342"/>
      <c r="I73" s="342"/>
      <c r="J73" s="342"/>
      <c r="K73" s="342"/>
      <c r="L73" s="342"/>
    </row>
  </sheetData>
  <mergeCells count="26">
    <mergeCell ref="B32:M32"/>
    <mergeCell ref="F6:G6"/>
    <mergeCell ref="H6:I6"/>
    <mergeCell ref="J6:K6"/>
    <mergeCell ref="B5:C5"/>
    <mergeCell ref="D5:E5"/>
    <mergeCell ref="F5:G5"/>
    <mergeCell ref="H5:I5"/>
    <mergeCell ref="J5:K5"/>
    <mergeCell ref="B17:C17"/>
    <mergeCell ref="B2:M2"/>
    <mergeCell ref="E18:F18"/>
    <mergeCell ref="B73:L73"/>
    <mergeCell ref="B10:C10"/>
    <mergeCell ref="E10:F10"/>
    <mergeCell ref="L6:M6"/>
    <mergeCell ref="B7:C7"/>
    <mergeCell ref="D7:E7"/>
    <mergeCell ref="F7:G7"/>
    <mergeCell ref="H7:I7"/>
    <mergeCell ref="J7:K7"/>
    <mergeCell ref="L7:M7"/>
    <mergeCell ref="B6:C6"/>
    <mergeCell ref="D6:E6"/>
    <mergeCell ref="L5:M5"/>
    <mergeCell ref="B3:M3"/>
  </mergeCells>
  <conditionalFormatting sqref="C19:C30">
    <cfRule type="dataBar" priority="2">
      <dataBar>
        <cfvo type="min"/>
        <cfvo type="max"/>
        <color rgb="FFFFC000"/>
      </dataBar>
      <extLst>
        <ext xmlns:x14="http://schemas.microsoft.com/office/spreadsheetml/2009/9/main" uri="{B025F937-C7B1-47D3-B67F-A62EFF666E3E}">
          <x14:id>{61AC8F88-1B7A-448C-A046-FDBFB0508A3A}</x14:id>
        </ext>
      </extLst>
    </cfRule>
  </conditionalFormatting>
  <conditionalFormatting sqref="I12:I17">
    <cfRule type="dataBar" priority="3">
      <dataBar>
        <cfvo type="min"/>
        <cfvo type="max"/>
        <color rgb="FF2E5AAC"/>
      </dataBar>
      <extLst>
        <ext xmlns:x14="http://schemas.microsoft.com/office/spreadsheetml/2009/9/main" uri="{B025F937-C7B1-47D3-B67F-A62EFF666E3E}">
          <x14:id>{4ABC8A6B-A400-4718-8B30-42A0405A4872}</x14:id>
        </ext>
      </extLst>
    </cfRule>
  </conditionalFormatting>
  <pageMargins left="0" right="0" top="0" bottom="0" header="0.31496062992125984" footer="0.31496062992125984"/>
  <pageSetup paperSize="8" scale="93" fitToHeight="3" orientation="landscape" horizontalDpi="300" verticalDpi="30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1AC8F88-1B7A-448C-A046-FDBFB0508A3A}">
            <x14:dataBar axisPosition="none">
              <x14:cfvo type="min"/>
              <x14:cfvo type="max"/>
              <x14:negativeFillColor rgb="FFFFC000"/>
            </x14:dataBar>
          </x14:cfRule>
          <xm:sqref>C19:C30</xm:sqref>
        </x14:conditionalFormatting>
        <x14:conditionalFormatting xmlns:xm="http://schemas.microsoft.com/office/excel/2006/main">
          <x14:cfRule type="dataBar" id="{4ABC8A6B-A400-4718-8B30-42A0405A4872}">
            <x14:dataBar axisPosition="none">
              <x14:cfvo type="min"/>
              <x14:cfvo type="max"/>
              <x14:negativeFillColor rgb="FF2E5AAC"/>
            </x14:dataBar>
          </x14:cfRule>
          <xm:sqref>I12:I17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  <pageSetUpPr fitToPage="1"/>
  </sheetPr>
  <dimension ref="A1:AD91"/>
  <sheetViews>
    <sheetView showGridLines="0" tabSelected="1" zoomScale="80" zoomScaleNormal="80" workbookViewId="0">
      <pane xSplit="4" ySplit="5" topLeftCell="H65" activePane="bottomRight" state="frozen"/>
      <selection pane="topRight" activeCell="E1" sqref="E1"/>
      <selection pane="bottomLeft" activeCell="A6" sqref="A6"/>
      <selection pane="bottomRight" activeCell="T72" sqref="T72"/>
    </sheetView>
  </sheetViews>
  <sheetFormatPr defaultColWidth="8.6640625" defaultRowHeight="14.4" x14ac:dyDescent="0.3"/>
  <cols>
    <col min="1" max="1" width="6" customWidth="1"/>
    <col min="2" max="2" width="6.6640625" customWidth="1"/>
    <col min="3" max="3" width="9.109375" customWidth="1"/>
    <col min="4" max="4" width="23.77734375" bestFit="1" customWidth="1"/>
    <col min="5" max="5" width="10" customWidth="1"/>
    <col min="6" max="6" width="17.109375" customWidth="1"/>
    <col min="7" max="7" width="59.33203125" style="14" customWidth="1"/>
    <col min="8" max="8" width="12" customWidth="1"/>
    <col min="9" max="9" width="11" customWidth="1"/>
    <col min="10" max="10" width="18.109375" customWidth="1"/>
    <col min="11" max="11" width="11" customWidth="1"/>
    <col min="12" max="12" width="11.6640625" customWidth="1"/>
    <col min="13" max="21" width="10.44140625" customWidth="1"/>
    <col min="22" max="22" width="11" customWidth="1"/>
    <col min="23" max="23" width="19.44140625" bestFit="1" customWidth="1"/>
    <col min="24" max="24" width="15.6640625" customWidth="1"/>
    <col min="25" max="25" width="25" style="155" customWidth="1"/>
    <col min="26" max="26" width="11" style="169" hidden="1" customWidth="1"/>
    <col min="27" max="27" width="64.33203125" style="185" hidden="1" customWidth="1"/>
    <col min="28" max="28" width="17.77734375" style="199" hidden="1" customWidth="1"/>
    <col min="29" max="34" width="0" hidden="1" customWidth="1"/>
  </cols>
  <sheetData>
    <row r="1" spans="1:30" ht="31.5" customHeight="1" x14ac:dyDescent="0.3">
      <c r="A1" s="324" t="s">
        <v>51</v>
      </c>
      <c r="B1" s="325"/>
      <c r="C1" s="325"/>
      <c r="D1" s="325"/>
      <c r="E1" s="325"/>
      <c r="F1" s="325"/>
      <c r="G1" s="325"/>
      <c r="H1" s="325"/>
      <c r="I1" s="325"/>
      <c r="J1" s="325"/>
      <c r="K1" s="325"/>
      <c r="L1" s="325"/>
      <c r="M1" s="325"/>
      <c r="N1" s="325"/>
      <c r="O1" s="325"/>
      <c r="P1" s="325"/>
      <c r="Q1" s="325"/>
      <c r="R1" s="325"/>
      <c r="S1" s="325"/>
      <c r="T1" s="325"/>
      <c r="U1" s="325"/>
      <c r="V1" s="325"/>
      <c r="W1" s="325"/>
      <c r="X1" s="325"/>
      <c r="Y1" s="326"/>
      <c r="Z1" s="233"/>
    </row>
    <row r="2" spans="1:30" ht="23.4" customHeight="1" x14ac:dyDescent="0.3">
      <c r="A2" s="327" t="s">
        <v>995</v>
      </c>
      <c r="B2" s="328"/>
      <c r="C2" s="328"/>
      <c r="D2" s="328"/>
      <c r="E2" s="328"/>
      <c r="F2" s="328"/>
      <c r="G2" s="328"/>
      <c r="H2" s="328"/>
      <c r="I2" s="328"/>
      <c r="J2" s="328"/>
      <c r="K2" s="328"/>
      <c r="L2" s="328"/>
      <c r="M2" s="328"/>
      <c r="N2" s="328"/>
      <c r="O2" s="328"/>
      <c r="P2" s="328"/>
      <c r="Q2" s="328"/>
      <c r="R2" s="328"/>
      <c r="S2" s="328"/>
      <c r="T2" s="328"/>
      <c r="U2" s="328"/>
      <c r="V2" s="328"/>
      <c r="W2" s="328"/>
      <c r="X2" s="328"/>
      <c r="Y2" s="329"/>
      <c r="Z2" s="233"/>
    </row>
    <row r="3" spans="1:30" ht="6" customHeight="1" x14ac:dyDescent="0.3">
      <c r="A3" s="132"/>
      <c r="X3" s="146"/>
      <c r="Y3" s="242"/>
      <c r="Z3" s="233"/>
    </row>
    <row r="4" spans="1:30" ht="33" customHeight="1" x14ac:dyDescent="0.3">
      <c r="A4" s="334" t="s">
        <v>53</v>
      </c>
      <c r="B4" s="335"/>
      <c r="C4" s="335"/>
      <c r="D4" s="335"/>
      <c r="E4" s="335"/>
      <c r="F4" s="335"/>
      <c r="G4" s="336"/>
      <c r="H4" s="337" t="s">
        <v>54</v>
      </c>
      <c r="I4" s="337"/>
      <c r="J4" s="337"/>
      <c r="K4" s="337" t="s">
        <v>55</v>
      </c>
      <c r="L4" s="337"/>
      <c r="M4" s="337" t="s">
        <v>56</v>
      </c>
      <c r="N4" s="337"/>
      <c r="O4" s="337"/>
      <c r="P4" s="337"/>
      <c r="Q4" s="337"/>
      <c r="R4" s="337"/>
      <c r="S4" s="337"/>
      <c r="T4" s="158"/>
      <c r="U4" s="158"/>
      <c r="V4" s="330" t="s">
        <v>57</v>
      </c>
      <c r="W4" s="331"/>
      <c r="X4" s="331"/>
      <c r="Y4" s="332"/>
      <c r="Z4" s="233"/>
    </row>
    <row r="5" spans="1:30" s="14" customFormat="1" ht="53.4" customHeight="1" x14ac:dyDescent="0.3">
      <c r="A5" s="243" t="s">
        <v>58</v>
      </c>
      <c r="B5" s="15" t="s">
        <v>13</v>
      </c>
      <c r="C5" s="15" t="s">
        <v>59</v>
      </c>
      <c r="D5" s="15" t="s">
        <v>60</v>
      </c>
      <c r="E5" s="15" t="s">
        <v>61</v>
      </c>
      <c r="F5" s="15" t="s">
        <v>994</v>
      </c>
      <c r="G5" s="15" t="s">
        <v>62</v>
      </c>
      <c r="H5" s="15" t="s">
        <v>63</v>
      </c>
      <c r="I5" s="15" t="s">
        <v>64</v>
      </c>
      <c r="J5" s="15" t="s">
        <v>65</v>
      </c>
      <c r="K5" s="15" t="s">
        <v>66</v>
      </c>
      <c r="L5" s="15" t="s">
        <v>67</v>
      </c>
      <c r="M5" s="153" t="s">
        <v>68</v>
      </c>
      <c r="N5" s="153" t="s">
        <v>69</v>
      </c>
      <c r="O5" s="153" t="s">
        <v>70</v>
      </c>
      <c r="P5" s="153" t="s">
        <v>71</v>
      </c>
      <c r="Q5" s="153" t="s">
        <v>72</v>
      </c>
      <c r="R5" s="153" t="s">
        <v>73</v>
      </c>
      <c r="S5" s="153">
        <v>46204</v>
      </c>
      <c r="T5" s="153">
        <v>46235</v>
      </c>
      <c r="U5" s="153">
        <v>46266</v>
      </c>
      <c r="V5" s="15" t="s">
        <v>74</v>
      </c>
      <c r="W5" s="15" t="s">
        <v>75</v>
      </c>
      <c r="X5" s="147" t="s">
        <v>11</v>
      </c>
      <c r="Y5" s="244" t="s">
        <v>315</v>
      </c>
      <c r="Z5" s="233" t="s">
        <v>379</v>
      </c>
      <c r="AA5" s="185" t="s">
        <v>380</v>
      </c>
      <c r="AB5" s="264" t="s">
        <v>717</v>
      </c>
    </row>
    <row r="6" spans="1:30" s="14" customFormat="1" ht="43.2" customHeight="1" x14ac:dyDescent="0.3">
      <c r="A6" s="106">
        <v>57</v>
      </c>
      <c r="B6" s="66" t="s">
        <v>104</v>
      </c>
      <c r="C6" s="66">
        <v>2762</v>
      </c>
      <c r="D6" s="29" t="s">
        <v>253</v>
      </c>
      <c r="E6" s="64" t="s">
        <v>20</v>
      </c>
      <c r="F6" s="64" t="s">
        <v>254</v>
      </c>
      <c r="G6" s="65" t="s">
        <v>255</v>
      </c>
      <c r="H6" s="65" t="s">
        <v>93</v>
      </c>
      <c r="I6" s="281" t="s">
        <v>256</v>
      </c>
      <c r="J6" s="64"/>
      <c r="K6" s="284">
        <v>6.3</v>
      </c>
      <c r="L6" s="290">
        <v>3.15</v>
      </c>
      <c r="M6" s="290"/>
      <c r="N6" s="290"/>
      <c r="O6" s="290"/>
      <c r="P6" s="290"/>
      <c r="Q6" s="290"/>
      <c r="R6" s="290"/>
      <c r="S6" s="290"/>
      <c r="T6" s="290"/>
      <c r="U6" s="290"/>
      <c r="V6" s="305" t="str">
        <f t="shared" ref="V6:V37" si="0">IFERROR(AVERAGE(M6:S6),"")</f>
        <v/>
      </c>
      <c r="W6" s="72" t="str">
        <f t="shared" ref="W6:W37" si="1">IFERROR(IF(V6="","",IF(H6="Increasing",(V6-K6)/(L6-K6),(K6-V6)/(K6-L6))),"")</f>
        <v/>
      </c>
      <c r="X6" s="150" t="str">
        <f t="shared" ref="X6:X37" si="2">IF(W6="","No Data",IF(W6&gt;=1,"Achieved",IF(W6&gt;=0.5,"On Track","Needs Attention")))</f>
        <v>No Data</v>
      </c>
      <c r="Y6" s="317" t="s">
        <v>356</v>
      </c>
      <c r="Z6" s="234">
        <v>46244</v>
      </c>
      <c r="AA6" s="171" t="s">
        <v>381</v>
      </c>
      <c r="AB6" s="168" t="str">
        <f>IF(V6&gt;K6,"U6/K6*100","0")</f>
        <v>U6/K6*100</v>
      </c>
      <c r="AC6" s="168"/>
      <c r="AD6" s="168"/>
    </row>
    <row r="7" spans="1:30" s="14" customFormat="1" ht="41.4" customHeight="1" x14ac:dyDescent="0.3">
      <c r="A7" s="253">
        <v>1</v>
      </c>
      <c r="B7" s="268" t="s">
        <v>76</v>
      </c>
      <c r="C7" s="270">
        <v>16923</v>
      </c>
      <c r="D7" s="17" t="s">
        <v>77</v>
      </c>
      <c r="E7" s="44" t="s">
        <v>17</v>
      </c>
      <c r="F7" s="44" t="s">
        <v>78</v>
      </c>
      <c r="G7" s="274" t="s">
        <v>536</v>
      </c>
      <c r="H7" s="42" t="s">
        <v>80</v>
      </c>
      <c r="I7" s="40" t="s">
        <v>81</v>
      </c>
      <c r="J7" s="43" t="s">
        <v>82</v>
      </c>
      <c r="K7" s="46">
        <v>41.18</v>
      </c>
      <c r="L7" s="47">
        <v>45</v>
      </c>
      <c r="M7" s="381">
        <v>28.76</v>
      </c>
      <c r="N7" s="182">
        <v>42.01</v>
      </c>
      <c r="O7" s="382">
        <v>30.72</v>
      </c>
      <c r="P7" s="298">
        <v>42.75</v>
      </c>
      <c r="Q7" s="383">
        <v>39.423076923076898</v>
      </c>
      <c r="R7" s="182">
        <v>42.6666666666667</v>
      </c>
      <c r="S7" s="182">
        <v>41.70192307692308</v>
      </c>
      <c r="T7" s="161"/>
      <c r="U7" s="161"/>
      <c r="V7" s="384">
        <f t="shared" si="0"/>
        <v>38.290238095238102</v>
      </c>
      <c r="W7" s="52">
        <f t="shared" si="1"/>
        <v>-0.75648217402143902</v>
      </c>
      <c r="X7" s="314" t="str">
        <f t="shared" si="2"/>
        <v>Needs Attention</v>
      </c>
      <c r="Y7" s="321" t="s">
        <v>317</v>
      </c>
      <c r="Z7" s="234">
        <v>46244</v>
      </c>
      <c r="AA7" s="171" t="s">
        <v>382</v>
      </c>
      <c r="AB7" s="168" t="str">
        <f>IF(V7&gt;K7,"U6/K6","0")</f>
        <v>0</v>
      </c>
    </row>
    <row r="8" spans="1:30" s="14" customFormat="1" ht="34.950000000000003" customHeight="1" x14ac:dyDescent="0.3">
      <c r="A8" s="110">
        <v>13</v>
      </c>
      <c r="B8" s="26" t="s">
        <v>104</v>
      </c>
      <c r="C8" s="26">
        <v>5503</v>
      </c>
      <c r="D8" s="29" t="s">
        <v>122</v>
      </c>
      <c r="E8" s="32" t="s">
        <v>20</v>
      </c>
      <c r="F8" s="32" t="s">
        <v>39</v>
      </c>
      <c r="G8" s="275" t="s">
        <v>123</v>
      </c>
      <c r="H8" s="30" t="s">
        <v>93</v>
      </c>
      <c r="I8" s="26"/>
      <c r="J8" s="30"/>
      <c r="K8" s="37"/>
      <c r="L8" s="35"/>
      <c r="M8" s="36"/>
      <c r="N8" s="35"/>
      <c r="O8" s="36"/>
      <c r="P8" s="36"/>
      <c r="Q8" s="35"/>
      <c r="R8" s="35"/>
      <c r="S8" s="35"/>
      <c r="T8" s="36"/>
      <c r="U8" s="36"/>
      <c r="V8" s="306" t="str">
        <f t="shared" si="0"/>
        <v/>
      </c>
      <c r="W8" s="76" t="str">
        <f t="shared" si="1"/>
        <v/>
      </c>
      <c r="X8" s="200" t="str">
        <f t="shared" si="2"/>
        <v>No Data</v>
      </c>
      <c r="Y8" s="248" t="s">
        <v>325</v>
      </c>
      <c r="Z8" s="234">
        <v>46244</v>
      </c>
      <c r="AA8" s="171" t="s">
        <v>382</v>
      </c>
      <c r="AB8" s="168" t="str">
        <f t="shared" ref="AB8:AB9" si="3">IF(V8&gt;K8,"U6/K6*100","0")</f>
        <v>0</v>
      </c>
    </row>
    <row r="9" spans="1:30" s="14" customFormat="1" ht="43.2" customHeight="1" x14ac:dyDescent="0.3">
      <c r="A9" s="252">
        <v>50</v>
      </c>
      <c r="B9" s="41" t="s">
        <v>104</v>
      </c>
      <c r="C9" s="41">
        <v>2954</v>
      </c>
      <c r="D9" s="17" t="s">
        <v>225</v>
      </c>
      <c r="E9" s="43" t="s">
        <v>20</v>
      </c>
      <c r="F9" s="44" t="s">
        <v>226</v>
      </c>
      <c r="G9" s="44" t="s">
        <v>227</v>
      </c>
      <c r="H9" s="44" t="s">
        <v>93</v>
      </c>
      <c r="I9" s="40" t="s">
        <v>228</v>
      </c>
      <c r="J9" s="42"/>
      <c r="K9" s="285">
        <v>134.4</v>
      </c>
      <c r="L9" s="291">
        <v>125</v>
      </c>
      <c r="M9" s="46"/>
      <c r="N9" s="45"/>
      <c r="O9" s="46"/>
      <c r="P9" s="46"/>
      <c r="Q9" s="45"/>
      <c r="R9" s="45"/>
      <c r="S9" s="45"/>
      <c r="T9" s="45"/>
      <c r="U9" s="45"/>
      <c r="V9" s="51" t="str">
        <f t="shared" si="0"/>
        <v/>
      </c>
      <c r="W9" s="52" t="str">
        <f t="shared" si="1"/>
        <v/>
      </c>
      <c r="X9" s="151" t="str">
        <f t="shared" si="2"/>
        <v>No Data</v>
      </c>
      <c r="Y9" s="248" t="s">
        <v>349</v>
      </c>
      <c r="Z9" s="234">
        <v>46244</v>
      </c>
      <c r="AA9" s="171" t="s">
        <v>382</v>
      </c>
      <c r="AB9" s="168" t="str">
        <f t="shared" si="3"/>
        <v>U6/K6*100</v>
      </c>
    </row>
    <row r="10" spans="1:30" s="14" customFormat="1" ht="34.950000000000003" customHeight="1" x14ac:dyDescent="0.3">
      <c r="A10" s="253">
        <v>69</v>
      </c>
      <c r="B10" s="50" t="s">
        <v>76</v>
      </c>
      <c r="C10" s="50">
        <v>10223</v>
      </c>
      <c r="D10" s="17" t="s">
        <v>287</v>
      </c>
      <c r="E10" s="44" t="s">
        <v>24</v>
      </c>
      <c r="F10" s="44" t="s">
        <v>45</v>
      </c>
      <c r="G10" s="44" t="s">
        <v>288</v>
      </c>
      <c r="H10" s="44"/>
      <c r="I10" s="41" t="s">
        <v>251</v>
      </c>
      <c r="J10" s="77"/>
      <c r="K10" s="286"/>
      <c r="L10" s="238"/>
      <c r="M10" s="161"/>
      <c r="N10" s="163"/>
      <c r="O10" s="163"/>
      <c r="P10" s="162"/>
      <c r="Q10" s="163"/>
      <c r="R10" s="163"/>
      <c r="S10" s="163"/>
      <c r="T10" s="161"/>
      <c r="U10" s="161"/>
      <c r="V10" s="239" t="str">
        <f t="shared" si="0"/>
        <v/>
      </c>
      <c r="W10" s="240" t="str">
        <f t="shared" si="1"/>
        <v/>
      </c>
      <c r="X10" s="241" t="str">
        <f t="shared" si="2"/>
        <v>No Data</v>
      </c>
      <c r="Y10" s="248" t="s">
        <v>365</v>
      </c>
      <c r="Z10" s="234">
        <v>46244</v>
      </c>
      <c r="AA10" s="171" t="s">
        <v>382</v>
      </c>
      <c r="AB10" s="168" t="str">
        <f>IF(V10&gt;K10,"U6/K6*100","0")</f>
        <v>0</v>
      </c>
    </row>
    <row r="11" spans="1:30" s="14" customFormat="1" ht="34.950000000000003" customHeight="1" x14ac:dyDescent="0.3">
      <c r="A11" s="110">
        <v>73</v>
      </c>
      <c r="B11" s="50" t="s">
        <v>76</v>
      </c>
      <c r="C11" s="50">
        <v>10642</v>
      </c>
      <c r="D11" s="17" t="s">
        <v>296</v>
      </c>
      <c r="E11" s="42" t="s">
        <v>24</v>
      </c>
      <c r="F11" s="44" t="s">
        <v>35</v>
      </c>
      <c r="G11" s="59" t="s">
        <v>297</v>
      </c>
      <c r="H11" s="59" t="s">
        <v>80</v>
      </c>
      <c r="I11" s="60">
        <v>0</v>
      </c>
      <c r="J11" s="17"/>
      <c r="K11" s="61"/>
      <c r="L11" s="61"/>
      <c r="M11" s="163"/>
      <c r="N11" s="161"/>
      <c r="O11" s="161"/>
      <c r="P11" s="163"/>
      <c r="Q11" s="161"/>
      <c r="R11" s="163"/>
      <c r="S11" s="163"/>
      <c r="T11" s="161"/>
      <c r="U11" s="161"/>
      <c r="V11" s="62" t="str">
        <f t="shared" si="0"/>
        <v/>
      </c>
      <c r="W11" s="63" t="str">
        <f t="shared" si="1"/>
        <v/>
      </c>
      <c r="X11" s="149" t="str">
        <f t="shared" si="2"/>
        <v>No Data</v>
      </c>
      <c r="Y11" s="248" t="s">
        <v>369</v>
      </c>
      <c r="Z11" s="234">
        <v>46244</v>
      </c>
      <c r="AA11" s="171" t="s">
        <v>382</v>
      </c>
    </row>
    <row r="12" spans="1:30" s="14" customFormat="1" ht="34.950000000000003" customHeight="1" x14ac:dyDescent="0.3">
      <c r="A12" s="252">
        <v>59</v>
      </c>
      <c r="B12" s="53" t="s">
        <v>76</v>
      </c>
      <c r="C12" s="26">
        <v>47015</v>
      </c>
      <c r="D12" s="29" t="s">
        <v>261</v>
      </c>
      <c r="E12" s="34" t="s">
        <v>22</v>
      </c>
      <c r="F12" s="30" t="s">
        <v>262</v>
      </c>
      <c r="G12" s="64" t="s">
        <v>263</v>
      </c>
      <c r="H12" s="65" t="s">
        <v>93</v>
      </c>
      <c r="I12" s="66">
        <v>0</v>
      </c>
      <c r="J12" s="64"/>
      <c r="K12" s="284"/>
      <c r="L12" s="284"/>
      <c r="M12" s="159"/>
      <c r="N12" s="159"/>
      <c r="O12" s="159"/>
      <c r="P12" s="301"/>
      <c r="Q12" s="159"/>
      <c r="R12" s="160"/>
      <c r="S12" s="160"/>
      <c r="T12" s="160"/>
      <c r="U12" s="160"/>
      <c r="V12" s="309" t="str">
        <f t="shared" si="0"/>
        <v/>
      </c>
      <c r="W12" s="72" t="str">
        <f t="shared" si="1"/>
        <v/>
      </c>
      <c r="X12" s="150" t="str">
        <f t="shared" si="2"/>
        <v>No Data</v>
      </c>
      <c r="Y12" s="248" t="s">
        <v>358</v>
      </c>
      <c r="Z12" s="234">
        <v>46244</v>
      </c>
      <c r="AA12" s="171" t="s">
        <v>383</v>
      </c>
    </row>
    <row r="13" spans="1:30" s="14" customFormat="1" ht="34.950000000000003" customHeight="1" x14ac:dyDescent="0.3">
      <c r="A13" s="253">
        <v>52</v>
      </c>
      <c r="B13" s="73" t="s">
        <v>76</v>
      </c>
      <c r="C13" s="74">
        <v>4781</v>
      </c>
      <c r="D13" s="17" t="s">
        <v>233</v>
      </c>
      <c r="E13" s="44" t="s">
        <v>20</v>
      </c>
      <c r="F13" s="44" t="s">
        <v>234</v>
      </c>
      <c r="G13" s="43" t="s">
        <v>388</v>
      </c>
      <c r="H13" s="42" t="s">
        <v>93</v>
      </c>
      <c r="I13" s="41">
        <v>0</v>
      </c>
      <c r="J13" s="43" t="s">
        <v>181</v>
      </c>
      <c r="K13" s="288">
        <v>0.107</v>
      </c>
      <c r="L13" s="288">
        <v>0.06</v>
      </c>
      <c r="M13" s="294">
        <v>9.9000000000000005E-2</v>
      </c>
      <c r="N13" s="294">
        <v>0.106</v>
      </c>
      <c r="O13" s="297">
        <v>0.105</v>
      </c>
      <c r="P13" s="300">
        <v>0.106</v>
      </c>
      <c r="Q13" s="294">
        <v>0.10199999999999999</v>
      </c>
      <c r="R13" s="304">
        <v>9.7000000000000003E-2</v>
      </c>
      <c r="S13" s="304"/>
      <c r="T13" s="304"/>
      <c r="U13" s="304"/>
      <c r="V13" s="308">
        <f t="shared" si="0"/>
        <v>0.10249999999999999</v>
      </c>
      <c r="W13" s="52">
        <f t="shared" si="1"/>
        <v>9.5744680851063912E-2</v>
      </c>
      <c r="X13" s="151" t="str">
        <f t="shared" si="2"/>
        <v>Needs Attention</v>
      </c>
      <c r="Y13" s="245" t="s">
        <v>351</v>
      </c>
      <c r="Z13" s="235">
        <v>46246</v>
      </c>
      <c r="AA13" s="186" t="s">
        <v>716</v>
      </c>
      <c r="AB13" s="198">
        <v>46260</v>
      </c>
    </row>
    <row r="14" spans="1:30" s="14" customFormat="1" ht="34.950000000000003" customHeight="1" x14ac:dyDescent="0.3">
      <c r="A14" s="110">
        <v>36</v>
      </c>
      <c r="B14" s="50" t="s">
        <v>104</v>
      </c>
      <c r="C14" s="40">
        <v>0</v>
      </c>
      <c r="D14" s="18" t="s">
        <v>175</v>
      </c>
      <c r="E14" s="42" t="s">
        <v>22</v>
      </c>
      <c r="F14" s="43" t="s">
        <v>44</v>
      </c>
      <c r="G14" s="43" t="s">
        <v>705</v>
      </c>
      <c r="H14" s="43" t="s">
        <v>80</v>
      </c>
      <c r="I14" s="50" t="s">
        <v>170</v>
      </c>
      <c r="J14" s="43" t="s">
        <v>178</v>
      </c>
      <c r="K14" s="287">
        <v>31048</v>
      </c>
      <c r="L14" s="287">
        <v>48972</v>
      </c>
      <c r="M14" s="293">
        <v>26349</v>
      </c>
      <c r="N14" s="293">
        <v>38713</v>
      </c>
      <c r="O14" s="287">
        <v>51859</v>
      </c>
      <c r="P14" s="299">
        <v>37485</v>
      </c>
      <c r="Q14" s="287">
        <v>40115</v>
      </c>
      <c r="R14" s="287">
        <v>36362</v>
      </c>
      <c r="S14" s="299">
        <v>41116</v>
      </c>
      <c r="T14" s="287"/>
      <c r="U14" s="287"/>
      <c r="V14" s="307">
        <f t="shared" si="0"/>
        <v>38857</v>
      </c>
      <c r="W14" s="49">
        <f t="shared" si="1"/>
        <v>0.43567284088373132</v>
      </c>
      <c r="X14" s="148" t="str">
        <f t="shared" si="2"/>
        <v>Needs Attention</v>
      </c>
      <c r="Y14" s="246" t="s">
        <v>336</v>
      </c>
      <c r="Z14" s="236">
        <v>46246</v>
      </c>
      <c r="AA14" s="201" t="s">
        <v>718</v>
      </c>
      <c r="AB14" s="202">
        <v>46305</v>
      </c>
    </row>
    <row r="15" spans="1:30" s="14" customFormat="1" ht="34.950000000000003" customHeight="1" x14ac:dyDescent="0.3">
      <c r="A15" s="110">
        <v>37</v>
      </c>
      <c r="B15" s="80" t="s">
        <v>76</v>
      </c>
      <c r="C15" s="80">
        <v>45143</v>
      </c>
      <c r="D15" s="271" t="s">
        <v>179</v>
      </c>
      <c r="E15" s="32" t="s">
        <v>22</v>
      </c>
      <c r="F15" s="32" t="s">
        <v>46</v>
      </c>
      <c r="G15" s="81" t="s">
        <v>180</v>
      </c>
      <c r="H15" s="279" t="s">
        <v>80</v>
      </c>
      <c r="I15" s="33" t="s">
        <v>85</v>
      </c>
      <c r="J15" s="32" t="s">
        <v>181</v>
      </c>
      <c r="K15" s="36">
        <v>72.489999999999995</v>
      </c>
      <c r="L15" s="36">
        <v>80</v>
      </c>
      <c r="M15" s="385">
        <v>71.28</v>
      </c>
      <c r="N15" s="197">
        <v>74.849999999999994</v>
      </c>
      <c r="O15" s="197">
        <v>74.86</v>
      </c>
      <c r="P15" s="302">
        <v>78.849999999999994</v>
      </c>
      <c r="Q15" s="302">
        <v>73.819999999999993</v>
      </c>
      <c r="R15" s="386">
        <v>70.31</v>
      </c>
      <c r="S15" s="386">
        <v>69.400000000000006</v>
      </c>
      <c r="T15" s="160"/>
      <c r="U15" s="160"/>
      <c r="V15" s="310">
        <f t="shared" si="0"/>
        <v>73.338571428571427</v>
      </c>
      <c r="W15" s="313">
        <f t="shared" si="1"/>
        <v>0.11299220087502419</v>
      </c>
      <c r="X15" s="316" t="str">
        <f t="shared" si="2"/>
        <v>Needs Attention</v>
      </c>
      <c r="Y15" s="247" t="s">
        <v>337</v>
      </c>
      <c r="Z15" s="237">
        <v>46246</v>
      </c>
      <c r="AA15" s="185" t="s">
        <v>385</v>
      </c>
      <c r="AB15" s="205"/>
    </row>
    <row r="16" spans="1:30" s="14" customFormat="1" ht="34.950000000000003" customHeight="1" x14ac:dyDescent="0.3">
      <c r="A16" s="253">
        <v>60</v>
      </c>
      <c r="B16" s="203" t="s">
        <v>76</v>
      </c>
      <c r="C16" s="203">
        <v>4924</v>
      </c>
      <c r="D16" s="272" t="s">
        <v>264</v>
      </c>
      <c r="E16" s="44" t="s">
        <v>20</v>
      </c>
      <c r="F16" s="44" t="s">
        <v>265</v>
      </c>
      <c r="G16" s="204" t="s">
        <v>266</v>
      </c>
      <c r="H16" s="280" t="s">
        <v>80</v>
      </c>
      <c r="I16" s="283" t="s">
        <v>85</v>
      </c>
      <c r="J16" s="77"/>
      <c r="K16" s="286"/>
      <c r="L16" s="286"/>
      <c r="M16" s="295"/>
      <c r="N16" s="295"/>
      <c r="O16" s="295"/>
      <c r="P16" s="260"/>
      <c r="Q16" s="260"/>
      <c r="R16" s="260"/>
      <c r="S16" s="260"/>
      <c r="T16" s="260"/>
      <c r="U16" s="260"/>
      <c r="V16" s="312" t="str">
        <f t="shared" si="0"/>
        <v/>
      </c>
      <c r="W16" s="240" t="str">
        <f t="shared" si="1"/>
        <v/>
      </c>
      <c r="X16" s="241" t="str">
        <f t="shared" si="2"/>
        <v>No Data</v>
      </c>
      <c r="Y16" s="248" t="s">
        <v>359</v>
      </c>
      <c r="Z16" s="237">
        <v>46246</v>
      </c>
      <c r="AA16" s="186" t="s">
        <v>719</v>
      </c>
      <c r="AB16" s="168"/>
    </row>
    <row r="17" spans="1:28" s="14" customFormat="1" ht="34.950000000000003" customHeight="1" x14ac:dyDescent="0.3">
      <c r="A17" s="266">
        <v>64</v>
      </c>
      <c r="B17" s="269" t="s">
        <v>104</v>
      </c>
      <c r="C17" s="269">
        <v>49844</v>
      </c>
      <c r="D17" s="271" t="s">
        <v>277</v>
      </c>
      <c r="E17" s="271" t="s">
        <v>22</v>
      </c>
      <c r="F17" s="271" t="s">
        <v>278</v>
      </c>
      <c r="G17" s="277" t="s">
        <v>712</v>
      </c>
      <c r="H17" s="29" t="s">
        <v>80</v>
      </c>
      <c r="I17" s="98" t="s">
        <v>313</v>
      </c>
      <c r="J17" s="29" t="s">
        <v>314</v>
      </c>
      <c r="K17" s="86">
        <v>162.80000000000001</v>
      </c>
      <c r="L17" s="87">
        <v>180</v>
      </c>
      <c r="M17" s="184">
        <v>165.92</v>
      </c>
      <c r="N17" s="184">
        <v>178.42</v>
      </c>
      <c r="O17" s="184">
        <v>165.53</v>
      </c>
      <c r="P17" s="387">
        <v>153.32</v>
      </c>
      <c r="Q17" s="387">
        <v>158.26</v>
      </c>
      <c r="R17" s="387">
        <v>142.87</v>
      </c>
      <c r="S17" s="387">
        <v>161.28</v>
      </c>
      <c r="T17" s="87"/>
      <c r="U17" s="87"/>
      <c r="V17" s="388">
        <f t="shared" si="0"/>
        <v>160.80000000000001</v>
      </c>
      <c r="W17" s="89">
        <f t="shared" si="1"/>
        <v>-0.11627906976744194</v>
      </c>
      <c r="X17" s="152" t="str">
        <f t="shared" si="2"/>
        <v>Needs Attention</v>
      </c>
      <c r="Y17" s="248" t="s">
        <v>363</v>
      </c>
      <c r="Z17" s="237">
        <v>46246</v>
      </c>
      <c r="AA17" s="186" t="s">
        <v>719</v>
      </c>
      <c r="AB17" s="168"/>
    </row>
    <row r="18" spans="1:28" s="14" customFormat="1" ht="34.950000000000003" customHeight="1" x14ac:dyDescent="0.3">
      <c r="A18" s="106">
        <v>65</v>
      </c>
      <c r="B18" s="86" t="s">
        <v>104</v>
      </c>
      <c r="C18" s="86">
        <v>49844</v>
      </c>
      <c r="D18" s="29" t="s">
        <v>277</v>
      </c>
      <c r="E18" s="29" t="s">
        <v>22</v>
      </c>
      <c r="F18" s="29" t="s">
        <v>278</v>
      </c>
      <c r="G18" s="95" t="s">
        <v>713</v>
      </c>
      <c r="H18" s="29" t="s">
        <v>80</v>
      </c>
      <c r="I18" s="98" t="s">
        <v>313</v>
      </c>
      <c r="J18" s="29" t="s">
        <v>314</v>
      </c>
      <c r="K18" s="86">
        <v>162.02000000000001</v>
      </c>
      <c r="L18" s="87">
        <v>180</v>
      </c>
      <c r="M18" s="387">
        <v>161.66</v>
      </c>
      <c r="N18" s="184">
        <v>168.45</v>
      </c>
      <c r="O18" s="184">
        <v>162.94</v>
      </c>
      <c r="P18" s="184">
        <v>168.89</v>
      </c>
      <c r="Q18" s="387">
        <v>157.53</v>
      </c>
      <c r="R18" s="387">
        <v>152.18</v>
      </c>
      <c r="S18" s="184">
        <v>162</v>
      </c>
      <c r="T18" s="87"/>
      <c r="U18" s="87"/>
      <c r="V18" s="388">
        <f t="shared" si="0"/>
        <v>161.95000000000002</v>
      </c>
      <c r="W18" s="89">
        <f t="shared" si="1"/>
        <v>-3.8932146829807131E-3</v>
      </c>
      <c r="X18" s="152" t="str">
        <f t="shared" si="2"/>
        <v>Needs Attention</v>
      </c>
      <c r="Y18" s="248" t="s">
        <v>363</v>
      </c>
      <c r="Z18" s="237">
        <v>46246</v>
      </c>
      <c r="AA18" s="185" t="s">
        <v>720</v>
      </c>
      <c r="AB18" s="168"/>
    </row>
    <row r="19" spans="1:28" s="14" customFormat="1" ht="34.950000000000003" customHeight="1" x14ac:dyDescent="0.3">
      <c r="A19" s="108">
        <v>66</v>
      </c>
      <c r="B19" s="86" t="s">
        <v>104</v>
      </c>
      <c r="C19" s="86">
        <v>49844</v>
      </c>
      <c r="D19" s="29" t="s">
        <v>277</v>
      </c>
      <c r="E19" s="29" t="s">
        <v>22</v>
      </c>
      <c r="F19" s="29" t="s">
        <v>278</v>
      </c>
      <c r="G19" s="95" t="s">
        <v>714</v>
      </c>
      <c r="H19" s="29" t="s">
        <v>80</v>
      </c>
      <c r="I19" s="98" t="s">
        <v>313</v>
      </c>
      <c r="J19" s="29" t="s">
        <v>314</v>
      </c>
      <c r="K19" s="86">
        <v>172.28</v>
      </c>
      <c r="L19" s="87">
        <v>180</v>
      </c>
      <c r="M19" s="184">
        <v>172.97</v>
      </c>
      <c r="N19" s="387">
        <v>165.03</v>
      </c>
      <c r="O19" s="387">
        <v>162.4</v>
      </c>
      <c r="P19" s="184">
        <v>191.3</v>
      </c>
      <c r="Q19" s="184">
        <v>189.69</v>
      </c>
      <c r="R19" s="184">
        <v>179.48</v>
      </c>
      <c r="S19" s="387">
        <v>155.04</v>
      </c>
      <c r="T19" s="87"/>
      <c r="U19" s="87"/>
      <c r="V19" s="184">
        <f t="shared" si="0"/>
        <v>173.70142857142858</v>
      </c>
      <c r="W19" s="89">
        <f t="shared" si="1"/>
        <v>0.18412287194670701</v>
      </c>
      <c r="X19" s="152" t="str">
        <f t="shared" si="2"/>
        <v>Needs Attention</v>
      </c>
      <c r="Y19" s="248" t="s">
        <v>363</v>
      </c>
      <c r="Z19" s="233"/>
      <c r="AA19" s="185"/>
      <c r="AB19" s="168"/>
    </row>
    <row r="20" spans="1:28" s="14" customFormat="1" ht="34.950000000000003" customHeight="1" x14ac:dyDescent="0.3">
      <c r="A20" s="110">
        <v>67</v>
      </c>
      <c r="B20" s="86" t="s">
        <v>104</v>
      </c>
      <c r="C20" s="86">
        <v>49844</v>
      </c>
      <c r="D20" s="29" t="s">
        <v>277</v>
      </c>
      <c r="E20" s="29" t="s">
        <v>22</v>
      </c>
      <c r="F20" s="29" t="s">
        <v>278</v>
      </c>
      <c r="G20" s="95" t="s">
        <v>715</v>
      </c>
      <c r="H20" s="29" t="s">
        <v>80</v>
      </c>
      <c r="I20" s="98" t="s">
        <v>313</v>
      </c>
      <c r="J20" s="29" t="s">
        <v>314</v>
      </c>
      <c r="K20" s="86">
        <v>180.69</v>
      </c>
      <c r="L20" s="145">
        <v>185</v>
      </c>
      <c r="M20" s="387">
        <v>162.62</v>
      </c>
      <c r="N20" s="387">
        <v>167.1</v>
      </c>
      <c r="O20" s="387">
        <v>173.41</v>
      </c>
      <c r="P20" s="387">
        <v>168.54</v>
      </c>
      <c r="Q20" s="387">
        <v>169.08</v>
      </c>
      <c r="R20" s="387">
        <v>172.86</v>
      </c>
      <c r="S20" s="387">
        <v>165.6</v>
      </c>
      <c r="T20" s="87"/>
      <c r="U20" s="87"/>
      <c r="V20" s="388">
        <f t="shared" si="0"/>
        <v>168.45857142857145</v>
      </c>
      <c r="W20" s="89">
        <f t="shared" si="1"/>
        <v>-2.8379184620483864</v>
      </c>
      <c r="X20" s="152" t="str">
        <f t="shared" si="2"/>
        <v>Needs Attention</v>
      </c>
      <c r="Y20" s="248" t="s">
        <v>363</v>
      </c>
      <c r="Z20" s="237">
        <v>46246</v>
      </c>
      <c r="AA20" s="186" t="s">
        <v>719</v>
      </c>
      <c r="AB20" s="168"/>
    </row>
    <row r="21" spans="1:28" s="14" customFormat="1" ht="34.950000000000003" customHeight="1" x14ac:dyDescent="0.3">
      <c r="A21" s="252">
        <v>53</v>
      </c>
      <c r="B21" s="86" t="s">
        <v>76</v>
      </c>
      <c r="C21" s="86">
        <v>80428</v>
      </c>
      <c r="D21" s="29" t="s">
        <v>237</v>
      </c>
      <c r="E21" s="29" t="s">
        <v>26</v>
      </c>
      <c r="F21" s="29" t="s">
        <v>238</v>
      </c>
      <c r="G21" s="29" t="s">
        <v>239</v>
      </c>
      <c r="H21" s="29" t="s">
        <v>80</v>
      </c>
      <c r="I21" s="86" t="s">
        <v>85</v>
      </c>
      <c r="J21" s="29" t="s">
        <v>240</v>
      </c>
      <c r="K21" s="87">
        <v>43</v>
      </c>
      <c r="L21" s="87">
        <v>56</v>
      </c>
      <c r="M21" s="164">
        <v>41.7229240008283</v>
      </c>
      <c r="N21" s="164">
        <v>49.8788531850089</v>
      </c>
      <c r="O21" s="164">
        <v>36.903716710564801</v>
      </c>
      <c r="P21" s="164"/>
      <c r="Q21" s="164"/>
      <c r="R21" s="164"/>
      <c r="S21" s="164"/>
      <c r="T21" s="164"/>
      <c r="U21" s="164"/>
      <c r="V21" s="88">
        <f t="shared" si="0"/>
        <v>42.835164632133996</v>
      </c>
      <c r="W21" s="89">
        <f t="shared" si="1"/>
        <v>-1.2679643682000337E-2</v>
      </c>
      <c r="X21" s="152" t="str">
        <f t="shared" si="2"/>
        <v>Needs Attention</v>
      </c>
      <c r="Y21" s="245" t="s">
        <v>352</v>
      </c>
      <c r="Z21" s="237">
        <v>46246</v>
      </c>
      <c r="AA21" s="186" t="s">
        <v>719</v>
      </c>
      <c r="AB21" s="168"/>
    </row>
    <row r="22" spans="1:28" s="14" customFormat="1" ht="34.950000000000003" customHeight="1" x14ac:dyDescent="0.3">
      <c r="A22" s="253">
        <v>40</v>
      </c>
      <c r="B22" s="85" t="s">
        <v>104</v>
      </c>
      <c r="C22" s="85">
        <v>2483</v>
      </c>
      <c r="D22" s="17" t="s">
        <v>188</v>
      </c>
      <c r="E22" s="17" t="s">
        <v>20</v>
      </c>
      <c r="F22" s="17" t="s">
        <v>189</v>
      </c>
      <c r="G22" s="17" t="s">
        <v>706</v>
      </c>
      <c r="H22" s="17" t="s">
        <v>93</v>
      </c>
      <c r="I22" s="85" t="s">
        <v>85</v>
      </c>
      <c r="J22" s="17" t="s">
        <v>191</v>
      </c>
      <c r="K22" s="61">
        <v>12.92</v>
      </c>
      <c r="L22" s="61">
        <v>12</v>
      </c>
      <c r="M22" s="207">
        <v>12.1</v>
      </c>
      <c r="N22" s="207">
        <v>12.42</v>
      </c>
      <c r="O22" s="207">
        <v>12.74</v>
      </c>
      <c r="P22" s="207">
        <v>12.44</v>
      </c>
      <c r="Q22" s="207">
        <v>12.56</v>
      </c>
      <c r="R22" s="207">
        <v>12.01</v>
      </c>
      <c r="S22" s="61"/>
      <c r="T22" s="61"/>
      <c r="U22" s="61"/>
      <c r="V22" s="177">
        <f t="shared" si="0"/>
        <v>12.378333333333332</v>
      </c>
      <c r="W22" s="63">
        <f t="shared" si="1"/>
        <v>0.58876811594203027</v>
      </c>
      <c r="X22" s="149" t="str">
        <f t="shared" si="2"/>
        <v>On Track</v>
      </c>
      <c r="Y22" s="245" t="s">
        <v>339</v>
      </c>
      <c r="Z22" s="234">
        <v>46244</v>
      </c>
      <c r="AA22" s="171" t="s">
        <v>383</v>
      </c>
    </row>
    <row r="23" spans="1:28" s="14" customFormat="1" ht="34.950000000000003" customHeight="1" x14ac:dyDescent="0.3">
      <c r="A23" s="110">
        <v>55</v>
      </c>
      <c r="B23" s="86" t="s">
        <v>76</v>
      </c>
      <c r="C23" s="86">
        <v>334</v>
      </c>
      <c r="D23" s="29" t="s">
        <v>244</v>
      </c>
      <c r="E23" s="29" t="s">
        <v>20</v>
      </c>
      <c r="F23" s="29" t="s">
        <v>245</v>
      </c>
      <c r="G23" s="29" t="s">
        <v>246</v>
      </c>
      <c r="H23" s="29" t="s">
        <v>93</v>
      </c>
      <c r="I23" s="86" t="s">
        <v>247</v>
      </c>
      <c r="J23" s="29" t="s">
        <v>191</v>
      </c>
      <c r="K23" s="87">
        <v>28.6</v>
      </c>
      <c r="L23" s="87">
        <v>25</v>
      </c>
      <c r="M23" s="410">
        <v>24.01</v>
      </c>
      <c r="N23" s="410">
        <v>21.03</v>
      </c>
      <c r="O23" s="410">
        <v>24.29</v>
      </c>
      <c r="P23" s="173">
        <v>25.06</v>
      </c>
      <c r="Q23" s="410">
        <v>23.67</v>
      </c>
      <c r="R23" s="173">
        <v>25.262898666666665</v>
      </c>
      <c r="S23" s="410">
        <v>20.197777741935482</v>
      </c>
      <c r="T23" s="410">
        <v>20.010000000000002</v>
      </c>
      <c r="U23" s="410"/>
      <c r="V23" s="411">
        <f t="shared" si="0"/>
        <v>23.360096629800307</v>
      </c>
      <c r="W23" s="89">
        <f t="shared" si="1"/>
        <v>1.4555287139443591</v>
      </c>
      <c r="X23" s="152" t="str">
        <f t="shared" si="2"/>
        <v>Achieved</v>
      </c>
      <c r="Y23" s="245" t="s">
        <v>354</v>
      </c>
      <c r="Z23" s="234">
        <v>46244</v>
      </c>
      <c r="AA23" s="171" t="s">
        <v>383</v>
      </c>
    </row>
    <row r="24" spans="1:28" s="14" customFormat="1" ht="34.950000000000003" customHeight="1" x14ac:dyDescent="0.3">
      <c r="A24" s="106">
        <v>7</v>
      </c>
      <c r="B24" s="86" t="s">
        <v>76</v>
      </c>
      <c r="C24" s="86">
        <v>464</v>
      </c>
      <c r="D24" s="29" t="s">
        <v>100</v>
      </c>
      <c r="E24" s="29" t="s">
        <v>20</v>
      </c>
      <c r="F24" s="29" t="s">
        <v>101</v>
      </c>
      <c r="G24" s="278" t="s">
        <v>102</v>
      </c>
      <c r="H24" s="29" t="s">
        <v>93</v>
      </c>
      <c r="I24" s="86" t="s">
        <v>85</v>
      </c>
      <c r="J24" s="29" t="s">
        <v>103</v>
      </c>
      <c r="K24" s="91">
        <v>299887</v>
      </c>
      <c r="L24" s="91">
        <v>284652</v>
      </c>
      <c r="M24" s="408">
        <v>308018.8</v>
      </c>
      <c r="N24" s="408">
        <v>384278.8</v>
      </c>
      <c r="O24" s="408">
        <v>345679.5</v>
      </c>
      <c r="P24" s="408">
        <v>309111.7</v>
      </c>
      <c r="Q24" s="413">
        <v>266104</v>
      </c>
      <c r="R24" s="413">
        <v>255905.3</v>
      </c>
      <c r="S24" s="179">
        <v>299720</v>
      </c>
      <c r="T24" s="413">
        <v>283809.3430369788</v>
      </c>
      <c r="U24" s="413"/>
      <c r="V24" s="409">
        <f t="shared" si="0"/>
        <v>309831.15714285715</v>
      </c>
      <c r="W24" s="89">
        <f t="shared" si="1"/>
        <v>-0.65271789582258932</v>
      </c>
      <c r="X24" s="152" t="str">
        <f t="shared" si="2"/>
        <v>Needs Attention</v>
      </c>
      <c r="Y24" s="245" t="s">
        <v>321</v>
      </c>
      <c r="Z24" s="234">
        <v>46244</v>
      </c>
      <c r="AA24" s="171" t="s">
        <v>383</v>
      </c>
    </row>
    <row r="25" spans="1:28" s="14" customFormat="1" ht="34.950000000000003" customHeight="1" x14ac:dyDescent="0.3">
      <c r="A25" s="253">
        <v>43</v>
      </c>
      <c r="B25" s="86" t="s">
        <v>104</v>
      </c>
      <c r="C25" s="86">
        <v>6095</v>
      </c>
      <c r="D25" s="29" t="s">
        <v>200</v>
      </c>
      <c r="E25" s="29" t="s">
        <v>20</v>
      </c>
      <c r="F25" s="29" t="s">
        <v>201</v>
      </c>
      <c r="G25" s="95" t="s">
        <v>202</v>
      </c>
      <c r="H25" s="29" t="s">
        <v>93</v>
      </c>
      <c r="I25" s="86" t="s">
        <v>203</v>
      </c>
      <c r="J25" s="29" t="s">
        <v>90</v>
      </c>
      <c r="K25" s="87">
        <v>41.13</v>
      </c>
      <c r="L25" s="87">
        <v>12</v>
      </c>
      <c r="M25" s="412">
        <v>11.35</v>
      </c>
      <c r="N25" s="412">
        <v>11.59</v>
      </c>
      <c r="O25" s="412">
        <v>9.8000000000000007</v>
      </c>
      <c r="P25" s="184">
        <v>13.36</v>
      </c>
      <c r="Q25" s="184">
        <v>14.36</v>
      </c>
      <c r="R25" s="412">
        <v>10.49</v>
      </c>
      <c r="S25" s="412">
        <v>9.39</v>
      </c>
      <c r="T25" s="412">
        <v>11.79</v>
      </c>
      <c r="U25" s="412"/>
      <c r="V25" s="411">
        <f t="shared" si="0"/>
        <v>11.477142857142855</v>
      </c>
      <c r="W25" s="89">
        <f t="shared" si="1"/>
        <v>1.017949095189054</v>
      </c>
      <c r="X25" s="152" t="str">
        <f t="shared" si="2"/>
        <v>Achieved</v>
      </c>
      <c r="Y25" s="245" t="s">
        <v>342</v>
      </c>
      <c r="Z25" s="237">
        <v>46246</v>
      </c>
      <c r="AA25" s="186" t="s">
        <v>729</v>
      </c>
      <c r="AB25" s="198">
        <v>46260</v>
      </c>
    </row>
    <row r="26" spans="1:28" s="14" customFormat="1" ht="34.950000000000003" customHeight="1" x14ac:dyDescent="0.3">
      <c r="A26" s="266">
        <v>47</v>
      </c>
      <c r="B26" s="86" t="s">
        <v>76</v>
      </c>
      <c r="C26" s="86">
        <v>48356</v>
      </c>
      <c r="D26" s="29" t="s">
        <v>214</v>
      </c>
      <c r="E26" s="29" t="s">
        <v>22</v>
      </c>
      <c r="F26" s="29" t="s">
        <v>215</v>
      </c>
      <c r="G26" s="29" t="s">
        <v>216</v>
      </c>
      <c r="H26" s="29" t="s">
        <v>93</v>
      </c>
      <c r="I26" s="86" t="s">
        <v>194</v>
      </c>
      <c r="J26" s="29" t="s">
        <v>164</v>
      </c>
      <c r="K26" s="87">
        <v>34</v>
      </c>
      <c r="L26" s="87">
        <v>25</v>
      </c>
      <c r="M26" s="396">
        <v>22</v>
      </c>
      <c r="N26" s="396">
        <v>22</v>
      </c>
      <c r="O26" s="396">
        <v>22</v>
      </c>
      <c r="P26" s="396">
        <v>20</v>
      </c>
      <c r="Q26" s="396">
        <v>21</v>
      </c>
      <c r="R26" s="396">
        <v>22</v>
      </c>
      <c r="S26" s="164"/>
      <c r="T26" s="164"/>
      <c r="U26" s="164"/>
      <c r="V26" s="397">
        <f t="shared" si="0"/>
        <v>21.5</v>
      </c>
      <c r="W26" s="89">
        <f t="shared" si="1"/>
        <v>1.3888888888888888</v>
      </c>
      <c r="X26" s="152" t="str">
        <f t="shared" si="2"/>
        <v>Achieved</v>
      </c>
      <c r="Y26" s="245" t="s">
        <v>346</v>
      </c>
      <c r="Z26" s="234">
        <v>46244</v>
      </c>
      <c r="AA26" s="170" t="s">
        <v>385</v>
      </c>
    </row>
    <row r="27" spans="1:28" s="14" customFormat="1" ht="34.950000000000003" customHeight="1" x14ac:dyDescent="0.3">
      <c r="A27" s="252">
        <v>41</v>
      </c>
      <c r="B27" s="86" t="s">
        <v>76</v>
      </c>
      <c r="C27" s="86">
        <v>49096</v>
      </c>
      <c r="D27" s="29" t="s">
        <v>192</v>
      </c>
      <c r="E27" s="29" t="s">
        <v>22</v>
      </c>
      <c r="F27" s="29" t="s">
        <v>31</v>
      </c>
      <c r="G27" s="29" t="s">
        <v>193</v>
      </c>
      <c r="H27" s="29" t="s">
        <v>93</v>
      </c>
      <c r="I27" s="86" t="s">
        <v>194</v>
      </c>
      <c r="J27" s="29" t="s">
        <v>195</v>
      </c>
      <c r="K27" s="91">
        <v>4251</v>
      </c>
      <c r="L27" s="91">
        <v>3700</v>
      </c>
      <c r="M27" s="166"/>
      <c r="N27" s="179">
        <v>3775.8361994174802</v>
      </c>
      <c r="O27" s="179">
        <v>4010.5587546464599</v>
      </c>
      <c r="P27" s="179">
        <v>3850.3860190814298</v>
      </c>
      <c r="Q27" s="179">
        <v>3920.7314942026501</v>
      </c>
      <c r="R27" s="179">
        <v>3837.6282014777198</v>
      </c>
      <c r="S27" s="179">
        <v>3832</v>
      </c>
      <c r="T27" s="166"/>
      <c r="U27" s="166"/>
      <c r="V27" s="180">
        <f t="shared" si="0"/>
        <v>3871.1901114709567</v>
      </c>
      <c r="W27" s="89">
        <f t="shared" si="1"/>
        <v>0.68931014252094969</v>
      </c>
      <c r="X27" s="152" t="str">
        <f t="shared" si="2"/>
        <v>On Track</v>
      </c>
      <c r="Y27" s="245" t="s">
        <v>340</v>
      </c>
      <c r="Z27" s="234">
        <v>46244</v>
      </c>
      <c r="AA27" s="170" t="s">
        <v>385</v>
      </c>
    </row>
    <row r="28" spans="1:28" s="14" customFormat="1" ht="34.950000000000003" hidden="1" customHeight="1" x14ac:dyDescent="0.3">
      <c r="A28" s="253">
        <v>9</v>
      </c>
      <c r="B28" s="86" t="s">
        <v>104</v>
      </c>
      <c r="C28" s="86">
        <v>7855</v>
      </c>
      <c r="D28" s="29" t="s">
        <v>110</v>
      </c>
      <c r="E28" s="29" t="s">
        <v>20</v>
      </c>
      <c r="F28" s="29" t="s">
        <v>111</v>
      </c>
      <c r="G28" s="29" t="s">
        <v>112</v>
      </c>
      <c r="H28" s="29" t="s">
        <v>93</v>
      </c>
      <c r="I28" s="86" t="s">
        <v>113</v>
      </c>
      <c r="J28" s="29" t="s">
        <v>114</v>
      </c>
      <c r="K28" s="87">
        <v>8.77</v>
      </c>
      <c r="L28" s="87">
        <v>5</v>
      </c>
      <c r="M28" s="184">
        <v>7.11</v>
      </c>
      <c r="N28" s="184">
        <v>5.5</v>
      </c>
      <c r="O28" s="184">
        <v>6.66</v>
      </c>
      <c r="P28" s="390">
        <v>11.25</v>
      </c>
      <c r="Q28" s="184">
        <v>8.08</v>
      </c>
      <c r="R28" s="184">
        <v>6.08</v>
      </c>
      <c r="S28" s="390">
        <v>17.329999999999998</v>
      </c>
      <c r="T28" s="387">
        <v>10.75</v>
      </c>
      <c r="U28" s="387"/>
      <c r="V28" s="178">
        <f t="shared" si="0"/>
        <v>8.8585714285714285</v>
      </c>
      <c r="W28" s="89">
        <f t="shared" si="1"/>
        <v>-2.3493747631678774E-2</v>
      </c>
      <c r="X28" s="152" t="str">
        <f t="shared" si="2"/>
        <v>Needs Attention</v>
      </c>
      <c r="Y28" s="245" t="s">
        <v>323</v>
      </c>
      <c r="Z28" s="234">
        <v>46244</v>
      </c>
      <c r="AA28" s="170" t="s">
        <v>385</v>
      </c>
    </row>
    <row r="29" spans="1:28" s="14" customFormat="1" ht="34.950000000000003" hidden="1" customHeight="1" x14ac:dyDescent="0.3">
      <c r="A29" s="110">
        <v>10</v>
      </c>
      <c r="B29" s="85" t="s">
        <v>104</v>
      </c>
      <c r="C29" s="85">
        <v>7855</v>
      </c>
      <c r="D29" s="17" t="s">
        <v>110</v>
      </c>
      <c r="E29" s="17" t="s">
        <v>20</v>
      </c>
      <c r="F29" s="17" t="s">
        <v>111</v>
      </c>
      <c r="G29" s="17" t="s">
        <v>115</v>
      </c>
      <c r="H29" s="17" t="s">
        <v>93</v>
      </c>
      <c r="I29" s="85" t="s">
        <v>113</v>
      </c>
      <c r="J29" s="17" t="s">
        <v>114</v>
      </c>
      <c r="K29" s="61">
        <v>6.13</v>
      </c>
      <c r="L29" s="61">
        <v>3</v>
      </c>
      <c r="M29" s="390">
        <v>13.5</v>
      </c>
      <c r="N29" s="207">
        <v>5.2</v>
      </c>
      <c r="O29" s="207">
        <v>4.58</v>
      </c>
      <c r="P29" s="207">
        <v>4.83</v>
      </c>
      <c r="Q29" s="207">
        <v>3.25</v>
      </c>
      <c r="R29" s="207">
        <v>5.5</v>
      </c>
      <c r="S29" s="414">
        <v>2.25</v>
      </c>
      <c r="T29" s="390">
        <v>9.9166666666666661</v>
      </c>
      <c r="U29" s="390"/>
      <c r="V29" s="177">
        <f t="shared" si="0"/>
        <v>5.5871428571428572</v>
      </c>
      <c r="W29" s="63">
        <f t="shared" si="1"/>
        <v>0.17343678685531716</v>
      </c>
      <c r="X29" s="149" t="str">
        <f t="shared" si="2"/>
        <v>Needs Attention</v>
      </c>
      <c r="Y29" s="245" t="s">
        <v>323</v>
      </c>
      <c r="Z29" s="237">
        <v>46246</v>
      </c>
      <c r="AA29" s="186" t="s">
        <v>719</v>
      </c>
      <c r="AB29" s="168"/>
    </row>
    <row r="30" spans="1:28" s="14" customFormat="1" ht="34.950000000000003" customHeight="1" x14ac:dyDescent="0.3">
      <c r="A30" s="252">
        <v>62</v>
      </c>
      <c r="B30" s="85" t="s">
        <v>104</v>
      </c>
      <c r="C30" s="85">
        <v>7780</v>
      </c>
      <c r="D30" s="17" t="s">
        <v>269</v>
      </c>
      <c r="E30" s="17" t="s">
        <v>20</v>
      </c>
      <c r="F30" s="17" t="s">
        <v>265</v>
      </c>
      <c r="G30" s="17" t="s">
        <v>270</v>
      </c>
      <c r="H30" s="17" t="s">
        <v>93</v>
      </c>
      <c r="I30" s="85" t="s">
        <v>271</v>
      </c>
      <c r="J30" s="17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2" t="str">
        <f t="shared" si="0"/>
        <v/>
      </c>
      <c r="W30" s="63" t="str">
        <f t="shared" si="1"/>
        <v/>
      </c>
      <c r="X30" s="149" t="str">
        <f t="shared" si="2"/>
        <v>No Data</v>
      </c>
      <c r="Y30" s="248" t="s">
        <v>361</v>
      </c>
      <c r="Z30" s="237">
        <v>46246</v>
      </c>
      <c r="AA30" s="186" t="s">
        <v>719</v>
      </c>
      <c r="AB30" s="168"/>
    </row>
    <row r="31" spans="1:28" s="14" customFormat="1" ht="34.950000000000003" customHeight="1" x14ac:dyDescent="0.3">
      <c r="A31" s="253">
        <v>51</v>
      </c>
      <c r="B31" s="86" t="s">
        <v>104</v>
      </c>
      <c r="C31" s="86">
        <v>5733</v>
      </c>
      <c r="D31" s="29" t="s">
        <v>229</v>
      </c>
      <c r="E31" s="29" t="s">
        <v>20</v>
      </c>
      <c r="F31" s="29" t="s">
        <v>230</v>
      </c>
      <c r="G31" s="29" t="s">
        <v>231</v>
      </c>
      <c r="H31" s="29" t="s">
        <v>80</v>
      </c>
      <c r="I31" s="86" t="s">
        <v>232</v>
      </c>
      <c r="J31" s="29"/>
      <c r="K31" s="145">
        <v>17.8</v>
      </c>
      <c r="L31" s="145">
        <v>20</v>
      </c>
      <c r="M31" s="87"/>
      <c r="N31" s="87"/>
      <c r="O31" s="87"/>
      <c r="P31" s="87"/>
      <c r="Q31" s="87"/>
      <c r="R31" s="87"/>
      <c r="S31" s="87"/>
      <c r="T31" s="87"/>
      <c r="U31" s="87"/>
      <c r="V31" s="88" t="str">
        <f t="shared" si="0"/>
        <v/>
      </c>
      <c r="W31" s="89" t="str">
        <f t="shared" si="1"/>
        <v/>
      </c>
      <c r="X31" s="152" t="str">
        <f t="shared" si="2"/>
        <v>No Data</v>
      </c>
      <c r="Y31" s="248" t="s">
        <v>350</v>
      </c>
      <c r="Z31" s="237">
        <v>46246</v>
      </c>
      <c r="AA31" s="186" t="s">
        <v>719</v>
      </c>
      <c r="AB31" s="168"/>
    </row>
    <row r="32" spans="1:28" s="14" customFormat="1" ht="34.950000000000003" customHeight="1" x14ac:dyDescent="0.3">
      <c r="A32" s="266">
        <v>76</v>
      </c>
      <c r="B32" s="86" t="s">
        <v>104</v>
      </c>
      <c r="C32" s="86">
        <v>3069</v>
      </c>
      <c r="D32" s="29" t="s">
        <v>303</v>
      </c>
      <c r="E32" s="29" t="s">
        <v>20</v>
      </c>
      <c r="F32" s="29" t="s">
        <v>304</v>
      </c>
      <c r="G32" s="212" t="s">
        <v>305</v>
      </c>
      <c r="H32" s="29" t="s">
        <v>93</v>
      </c>
      <c r="I32" s="86"/>
      <c r="J32" s="29"/>
      <c r="K32" s="87"/>
      <c r="L32" s="87"/>
      <c r="M32" s="87"/>
      <c r="N32" s="87"/>
      <c r="O32" s="87"/>
      <c r="P32" s="87"/>
      <c r="Q32" s="87"/>
      <c r="R32" s="87"/>
      <c r="S32" s="87"/>
      <c r="T32" s="87"/>
      <c r="U32" s="87"/>
      <c r="V32" s="88" t="str">
        <f t="shared" si="0"/>
        <v/>
      </c>
      <c r="W32" s="89" t="str">
        <f t="shared" si="1"/>
        <v/>
      </c>
      <c r="X32" s="152" t="str">
        <f t="shared" si="2"/>
        <v>No Data</v>
      </c>
      <c r="Y32" s="248" t="s">
        <v>372</v>
      </c>
      <c r="Z32" s="237">
        <v>46246</v>
      </c>
      <c r="AA32" s="186" t="s">
        <v>719</v>
      </c>
      <c r="AB32" s="168"/>
    </row>
    <row r="33" spans="1:28" s="14" customFormat="1" ht="34.950000000000003" customHeight="1" x14ac:dyDescent="0.3">
      <c r="A33" s="106">
        <v>34</v>
      </c>
      <c r="B33" s="85" t="s">
        <v>104</v>
      </c>
      <c r="C33" s="85">
        <v>48820</v>
      </c>
      <c r="D33" s="17" t="s">
        <v>168</v>
      </c>
      <c r="E33" s="17" t="s">
        <v>22</v>
      </c>
      <c r="F33" s="17" t="s">
        <v>44</v>
      </c>
      <c r="G33" s="90" t="s">
        <v>992</v>
      </c>
      <c r="H33" s="17" t="s">
        <v>80</v>
      </c>
      <c r="I33" s="85" t="s">
        <v>990</v>
      </c>
      <c r="J33" s="17" t="s">
        <v>991</v>
      </c>
      <c r="K33" s="93">
        <v>31.4</v>
      </c>
      <c r="L33" s="93">
        <v>33</v>
      </c>
      <c r="M33" s="410">
        <v>34.565809379727682</v>
      </c>
      <c r="N33" s="394">
        <v>30.916010498687665</v>
      </c>
      <c r="O33" s="250">
        <v>31.423076923076923</v>
      </c>
      <c r="P33" s="250">
        <v>31.47</v>
      </c>
      <c r="Q33" s="250">
        <v>31.651888341543515</v>
      </c>
      <c r="R33" s="250">
        <v>31.453333333333333</v>
      </c>
      <c r="S33" s="250">
        <v>31.597014925373134</v>
      </c>
      <c r="T33" s="250">
        <v>31.42</v>
      </c>
      <c r="U33" s="250"/>
      <c r="V33" s="251">
        <f t="shared" si="0"/>
        <v>31.868161914534607</v>
      </c>
      <c r="W33" s="63">
        <f t="shared" si="1"/>
        <v>0.29260119658412992</v>
      </c>
      <c r="X33" s="149" t="str">
        <f t="shared" si="2"/>
        <v>Needs Attention</v>
      </c>
      <c r="Y33" s="245" t="s">
        <v>334</v>
      </c>
      <c r="Z33" s="237">
        <v>46246</v>
      </c>
      <c r="AA33" s="186" t="s">
        <v>731</v>
      </c>
      <c r="AB33" s="198">
        <v>46260</v>
      </c>
    </row>
    <row r="34" spans="1:28" s="14" customFormat="1" ht="34.950000000000003" customHeight="1" x14ac:dyDescent="0.3">
      <c r="A34" s="108">
        <v>2</v>
      </c>
      <c r="B34" s="86" t="s">
        <v>76</v>
      </c>
      <c r="C34" s="86">
        <v>16407</v>
      </c>
      <c r="D34" s="29" t="s">
        <v>83</v>
      </c>
      <c r="E34" s="29" t="s">
        <v>17</v>
      </c>
      <c r="F34" s="29" t="s">
        <v>37</v>
      </c>
      <c r="G34" s="95" t="s">
        <v>84</v>
      </c>
      <c r="H34" s="29" t="s">
        <v>80</v>
      </c>
      <c r="I34" s="86" t="s">
        <v>85</v>
      </c>
      <c r="J34" s="29" t="s">
        <v>86</v>
      </c>
      <c r="K34" s="87">
        <v>83.48</v>
      </c>
      <c r="L34" s="87">
        <v>90</v>
      </c>
      <c r="M34" s="173">
        <v>87.04</v>
      </c>
      <c r="N34" s="173">
        <v>86.12</v>
      </c>
      <c r="O34" s="173">
        <v>86.05</v>
      </c>
      <c r="P34" s="173">
        <v>85.75</v>
      </c>
      <c r="Q34" s="173">
        <v>84.3</v>
      </c>
      <c r="R34" s="164"/>
      <c r="S34" s="164"/>
      <c r="T34" s="164"/>
      <c r="U34" s="164"/>
      <c r="V34" s="178">
        <f t="shared" si="0"/>
        <v>85.852000000000004</v>
      </c>
      <c r="W34" s="89">
        <f t="shared" si="1"/>
        <v>0.36380368098159532</v>
      </c>
      <c r="X34" s="152" t="str">
        <f t="shared" si="2"/>
        <v>Needs Attention</v>
      </c>
      <c r="Y34" s="245" t="s">
        <v>318</v>
      </c>
      <c r="Z34" s="234">
        <v>46244</v>
      </c>
      <c r="AA34" s="171" t="s">
        <v>386</v>
      </c>
    </row>
    <row r="35" spans="1:28" s="14" customFormat="1" ht="34.950000000000003" customHeight="1" x14ac:dyDescent="0.3">
      <c r="A35" s="266">
        <v>78</v>
      </c>
      <c r="B35" s="86" t="s">
        <v>104</v>
      </c>
      <c r="C35" s="86">
        <v>47561</v>
      </c>
      <c r="D35" s="29" t="s">
        <v>309</v>
      </c>
      <c r="E35" s="29" t="s">
        <v>22</v>
      </c>
      <c r="F35" s="29" t="s">
        <v>35</v>
      </c>
      <c r="G35" s="273" t="s">
        <v>310</v>
      </c>
      <c r="H35" s="29" t="s">
        <v>93</v>
      </c>
      <c r="I35" s="86"/>
      <c r="J35" s="29"/>
      <c r="K35" s="87"/>
      <c r="L35" s="87"/>
      <c r="M35" s="87"/>
      <c r="N35" s="87"/>
      <c r="O35" s="87"/>
      <c r="P35" s="87"/>
      <c r="Q35" s="87"/>
      <c r="R35" s="87"/>
      <c r="S35" s="87"/>
      <c r="T35" s="87"/>
      <c r="U35" s="87"/>
      <c r="V35" s="88" t="str">
        <f t="shared" si="0"/>
        <v/>
      </c>
      <c r="W35" s="89" t="str">
        <f t="shared" si="1"/>
        <v/>
      </c>
      <c r="X35" s="152" t="str">
        <f t="shared" si="2"/>
        <v>No Data</v>
      </c>
      <c r="Y35" s="248" t="s">
        <v>374</v>
      </c>
      <c r="Z35" s="234">
        <v>46244</v>
      </c>
      <c r="AA35" s="171" t="s">
        <v>382</v>
      </c>
    </row>
    <row r="36" spans="1:28" s="14" customFormat="1" ht="34.950000000000003" customHeight="1" x14ac:dyDescent="0.3">
      <c r="A36" s="252">
        <v>8</v>
      </c>
      <c r="B36" s="85" t="s">
        <v>104</v>
      </c>
      <c r="C36" s="85">
        <v>6363</v>
      </c>
      <c r="D36" s="17" t="s">
        <v>105</v>
      </c>
      <c r="E36" s="17" t="s">
        <v>20</v>
      </c>
      <c r="F36" s="17" t="s">
        <v>106</v>
      </c>
      <c r="G36" s="20" t="s">
        <v>107</v>
      </c>
      <c r="H36" s="17" t="s">
        <v>93</v>
      </c>
      <c r="I36" s="85" t="s">
        <v>108</v>
      </c>
      <c r="J36" s="17" t="s">
        <v>109</v>
      </c>
      <c r="K36" s="61">
        <v>9.36</v>
      </c>
      <c r="L36" s="87">
        <v>8</v>
      </c>
      <c r="M36" s="414">
        <v>7.99</v>
      </c>
      <c r="N36" s="207">
        <v>8.3800000000000008</v>
      </c>
      <c r="O36" s="207">
        <v>8.8800000000000008</v>
      </c>
      <c r="P36" s="390">
        <v>9.4600000000000009</v>
      </c>
      <c r="Q36" s="390">
        <v>9.6</v>
      </c>
      <c r="R36" s="390">
        <v>11.14</v>
      </c>
      <c r="S36" s="390">
        <v>10.48</v>
      </c>
      <c r="T36" s="390">
        <v>9.6300000000000008</v>
      </c>
      <c r="U36" s="390"/>
      <c r="V36" s="393">
        <f t="shared" si="0"/>
        <v>9.418571428571429</v>
      </c>
      <c r="W36" s="63">
        <f t="shared" si="1"/>
        <v>-4.3067226890757079E-2</v>
      </c>
      <c r="X36" s="149" t="str">
        <f t="shared" si="2"/>
        <v>Needs Attention</v>
      </c>
      <c r="Y36" s="245" t="s">
        <v>322</v>
      </c>
      <c r="Z36" s="234">
        <v>46244</v>
      </c>
      <c r="AA36" s="171" t="s">
        <v>382</v>
      </c>
    </row>
    <row r="37" spans="1:28" s="14" customFormat="1" ht="34.950000000000003" customHeight="1" x14ac:dyDescent="0.3">
      <c r="A37" s="253">
        <v>54</v>
      </c>
      <c r="B37" s="85" t="s">
        <v>104</v>
      </c>
      <c r="C37" s="85"/>
      <c r="D37" s="17" t="s">
        <v>241</v>
      </c>
      <c r="E37" s="17" t="s">
        <v>20</v>
      </c>
      <c r="F37" s="17" t="s">
        <v>33</v>
      </c>
      <c r="G37" s="20" t="s">
        <v>710</v>
      </c>
      <c r="H37" s="17" t="s">
        <v>80</v>
      </c>
      <c r="I37" s="85" t="s">
        <v>711</v>
      </c>
      <c r="J37" s="17" t="s">
        <v>171</v>
      </c>
      <c r="K37" s="209">
        <v>575</v>
      </c>
      <c r="L37" s="61">
        <v>650</v>
      </c>
      <c r="M37" s="398">
        <v>677.51612903225805</v>
      </c>
      <c r="N37" s="398">
        <v>677.78571428571433</v>
      </c>
      <c r="O37" s="207">
        <v>648.69230769230774</v>
      </c>
      <c r="P37" s="207">
        <v>658.82758620689651</v>
      </c>
      <c r="Q37" s="207">
        <v>638.47058823529414</v>
      </c>
      <c r="R37" s="207">
        <v>632.54166666666663</v>
      </c>
      <c r="S37" s="61"/>
      <c r="T37" s="61"/>
      <c r="U37" s="61"/>
      <c r="V37" s="177">
        <f t="shared" si="0"/>
        <v>655.63899868652288</v>
      </c>
      <c r="W37" s="63">
        <f t="shared" si="1"/>
        <v>1.0751866491536384</v>
      </c>
      <c r="X37" s="149" t="str">
        <f t="shared" si="2"/>
        <v>Achieved</v>
      </c>
      <c r="Y37" s="245" t="s">
        <v>353</v>
      </c>
      <c r="Z37" s="234">
        <v>46244</v>
      </c>
      <c r="AA37" s="171" t="s">
        <v>382</v>
      </c>
    </row>
    <row r="38" spans="1:28" s="14" customFormat="1" ht="34.950000000000003" customHeight="1" x14ac:dyDescent="0.3">
      <c r="A38" s="266">
        <v>44</v>
      </c>
      <c r="B38" s="85" t="s">
        <v>76</v>
      </c>
      <c r="C38" s="85">
        <v>6323</v>
      </c>
      <c r="D38" s="17" t="s">
        <v>204</v>
      </c>
      <c r="E38" s="17" t="s">
        <v>20</v>
      </c>
      <c r="F38" s="17" t="s">
        <v>205</v>
      </c>
      <c r="G38" s="20" t="s">
        <v>206</v>
      </c>
      <c r="H38" s="17" t="s">
        <v>93</v>
      </c>
      <c r="I38" s="85" t="s">
        <v>194</v>
      </c>
      <c r="J38" s="17" t="s">
        <v>207</v>
      </c>
      <c r="K38" s="61">
        <v>38.75</v>
      </c>
      <c r="L38" s="61">
        <v>35</v>
      </c>
      <c r="M38" s="399">
        <v>20</v>
      </c>
      <c r="N38" s="399">
        <v>23</v>
      </c>
      <c r="O38" s="399">
        <v>24</v>
      </c>
      <c r="P38" s="399">
        <v>29</v>
      </c>
      <c r="Q38" s="399">
        <v>28</v>
      </c>
      <c r="R38" s="399">
        <v>25</v>
      </c>
      <c r="S38" s="399">
        <v>29</v>
      </c>
      <c r="T38" s="399">
        <v>31.006</v>
      </c>
      <c r="U38" s="399">
        <v>22.756</v>
      </c>
      <c r="V38" s="400">
        <f t="shared" ref="V38:V74" si="4">IFERROR(AVERAGE(M38:S38),"")</f>
        <v>25.428571428571427</v>
      </c>
      <c r="W38" s="63">
        <f t="shared" ref="W38:W69" si="5">IFERROR(IF(V38="","",IF(H38="Increasing",(V38-K38)/(L38-K38),(K38-V38)/(K38-L38))),"")</f>
        <v>3.5523809523809526</v>
      </c>
      <c r="X38" s="149" t="str">
        <f t="shared" ref="X38:X69" si="6">IF(W38="","No Data",IF(W38&gt;=1,"Achieved",IF(W38&gt;=0.5,"On Track","Needs Attention")))</f>
        <v>Achieved</v>
      </c>
      <c r="Y38" s="245" t="s">
        <v>343</v>
      </c>
      <c r="Z38" s="234">
        <v>46244</v>
      </c>
      <c r="AA38" s="171" t="s">
        <v>382</v>
      </c>
    </row>
    <row r="39" spans="1:28" s="14" customFormat="1" ht="34.950000000000003" customHeight="1" x14ac:dyDescent="0.3">
      <c r="A39" s="110">
        <v>48</v>
      </c>
      <c r="B39" s="85" t="s">
        <v>104</v>
      </c>
      <c r="C39" s="85">
        <v>5612</v>
      </c>
      <c r="D39" s="17" t="s">
        <v>378</v>
      </c>
      <c r="E39" s="17" t="s">
        <v>20</v>
      </c>
      <c r="F39" s="17" t="s">
        <v>218</v>
      </c>
      <c r="G39" s="18" t="s">
        <v>219</v>
      </c>
      <c r="H39" s="17" t="s">
        <v>93</v>
      </c>
      <c r="I39" s="85" t="s">
        <v>220</v>
      </c>
      <c r="J39" s="17" t="s">
        <v>221</v>
      </c>
      <c r="K39" s="93">
        <v>1411</v>
      </c>
      <c r="L39" s="93">
        <v>1000</v>
      </c>
      <c r="M39" s="93">
        <v>1591</v>
      </c>
      <c r="N39" s="93">
        <v>1637</v>
      </c>
      <c r="O39" s="93">
        <v>1108</v>
      </c>
      <c r="P39" s="93">
        <v>34</v>
      </c>
      <c r="Q39" s="93">
        <v>87</v>
      </c>
      <c r="R39" s="93">
        <v>139</v>
      </c>
      <c r="S39" s="93"/>
      <c r="T39" s="93"/>
      <c r="U39" s="93"/>
      <c r="V39" s="94">
        <f t="shared" si="4"/>
        <v>766</v>
      </c>
      <c r="W39" s="63">
        <f t="shared" si="5"/>
        <v>1.5693430656934306</v>
      </c>
      <c r="X39" s="149" t="str">
        <f t="shared" si="6"/>
        <v>Achieved</v>
      </c>
      <c r="Y39" s="245" t="s">
        <v>347</v>
      </c>
      <c r="Z39" s="234"/>
      <c r="AA39" s="154"/>
    </row>
    <row r="40" spans="1:28" s="14" customFormat="1" ht="34.950000000000003" customHeight="1" x14ac:dyDescent="0.3">
      <c r="A40" s="106">
        <v>49</v>
      </c>
      <c r="B40" s="86" t="s">
        <v>104</v>
      </c>
      <c r="C40" s="86">
        <v>8216</v>
      </c>
      <c r="D40" s="29" t="s">
        <v>222</v>
      </c>
      <c r="E40" s="29" t="s">
        <v>20</v>
      </c>
      <c r="F40" s="29" t="s">
        <v>35</v>
      </c>
      <c r="G40" s="65" t="s">
        <v>707</v>
      </c>
      <c r="H40" s="29" t="s">
        <v>93</v>
      </c>
      <c r="I40" s="86" t="s">
        <v>85</v>
      </c>
      <c r="J40" s="29" t="s">
        <v>224</v>
      </c>
      <c r="K40" s="87">
        <v>3.1</v>
      </c>
      <c r="L40" s="87">
        <v>2</v>
      </c>
      <c r="M40" s="401">
        <v>0.93194135630906105</v>
      </c>
      <c r="N40" s="401">
        <v>1.4</v>
      </c>
      <c r="O40" s="401">
        <v>1.7</v>
      </c>
      <c r="P40" s="184">
        <v>2.1</v>
      </c>
      <c r="Q40" s="184">
        <v>2.2000000000000002</v>
      </c>
      <c r="R40" s="184">
        <v>2.1</v>
      </c>
      <c r="S40" s="87"/>
      <c r="T40" s="87"/>
      <c r="U40" s="87"/>
      <c r="V40" s="397">
        <f t="shared" si="4"/>
        <v>1.7386568927181771</v>
      </c>
      <c r="W40" s="89">
        <f t="shared" si="5"/>
        <v>1.2375846429834754</v>
      </c>
      <c r="X40" s="152" t="str">
        <f t="shared" si="6"/>
        <v>Achieved</v>
      </c>
      <c r="Y40" s="245" t="s">
        <v>348</v>
      </c>
      <c r="Z40" s="237">
        <v>46246</v>
      </c>
      <c r="AA40" s="186" t="s">
        <v>732</v>
      </c>
      <c r="AB40" s="168"/>
    </row>
    <row r="41" spans="1:28" s="14" customFormat="1" ht="34.950000000000003" customHeight="1" x14ac:dyDescent="0.3">
      <c r="A41" s="108">
        <v>35</v>
      </c>
      <c r="B41" s="86" t="s">
        <v>76</v>
      </c>
      <c r="C41" s="86">
        <v>45833</v>
      </c>
      <c r="D41" s="29" t="s">
        <v>172</v>
      </c>
      <c r="E41" s="29" t="s">
        <v>22</v>
      </c>
      <c r="F41" s="29" t="s">
        <v>44</v>
      </c>
      <c r="G41" s="29" t="s">
        <v>173</v>
      </c>
      <c r="H41" s="17" t="s">
        <v>93</v>
      </c>
      <c r="I41" s="86" t="s">
        <v>170</v>
      </c>
      <c r="J41" s="29" t="s">
        <v>174</v>
      </c>
      <c r="K41" s="91">
        <v>8894</v>
      </c>
      <c r="L41" s="91">
        <v>2261</v>
      </c>
      <c r="M41" s="402">
        <v>859</v>
      </c>
      <c r="N41" s="402">
        <v>528</v>
      </c>
      <c r="O41" s="402">
        <v>550</v>
      </c>
      <c r="P41" s="402">
        <v>371</v>
      </c>
      <c r="Q41" s="402">
        <v>390</v>
      </c>
      <c r="R41" s="402">
        <v>586</v>
      </c>
      <c r="S41" s="402">
        <v>981</v>
      </c>
      <c r="T41" s="166"/>
      <c r="U41" s="166"/>
      <c r="V41" s="403">
        <f t="shared" si="4"/>
        <v>609.28571428571433</v>
      </c>
      <c r="W41" s="89">
        <f t="shared" si="5"/>
        <v>1.2490146669251148</v>
      </c>
      <c r="X41" s="152" t="str">
        <f t="shared" si="6"/>
        <v>Achieved</v>
      </c>
      <c r="Y41" s="245" t="s">
        <v>335</v>
      </c>
      <c r="Z41" s="234">
        <v>46244</v>
      </c>
      <c r="AA41" s="171" t="s">
        <v>382</v>
      </c>
    </row>
    <row r="42" spans="1:28" s="14" customFormat="1" ht="34.950000000000003" customHeight="1" x14ac:dyDescent="0.3">
      <c r="A42" s="110">
        <v>63</v>
      </c>
      <c r="B42" s="85" t="s">
        <v>104</v>
      </c>
      <c r="C42" s="85">
        <v>9517</v>
      </c>
      <c r="D42" s="17" t="s">
        <v>275</v>
      </c>
      <c r="E42" s="17" t="s">
        <v>22</v>
      </c>
      <c r="F42" s="17" t="s">
        <v>197</v>
      </c>
      <c r="G42" s="211" t="s">
        <v>276</v>
      </c>
      <c r="H42" s="17" t="s">
        <v>80</v>
      </c>
      <c r="I42" s="85"/>
      <c r="J42" s="17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2" t="str">
        <f t="shared" si="4"/>
        <v/>
      </c>
      <c r="W42" s="63" t="str">
        <f t="shared" si="5"/>
        <v/>
      </c>
      <c r="X42" s="149" t="str">
        <f t="shared" si="6"/>
        <v>No Data</v>
      </c>
      <c r="Y42" s="248" t="s">
        <v>362</v>
      </c>
      <c r="Z42" s="233"/>
      <c r="AA42" s="185"/>
      <c r="AB42" s="168"/>
    </row>
    <row r="43" spans="1:28" s="14" customFormat="1" ht="34.950000000000003" customHeight="1" x14ac:dyDescent="0.3">
      <c r="A43" s="106">
        <v>45</v>
      </c>
      <c r="B43" s="86" t="s">
        <v>76</v>
      </c>
      <c r="C43" s="86">
        <v>10952</v>
      </c>
      <c r="D43" s="29" t="s">
        <v>208</v>
      </c>
      <c r="E43" s="29" t="s">
        <v>20</v>
      </c>
      <c r="F43" s="29" t="s">
        <v>35</v>
      </c>
      <c r="G43" s="29" t="s">
        <v>209</v>
      </c>
      <c r="H43" s="29" t="s">
        <v>93</v>
      </c>
      <c r="I43" s="86" t="s">
        <v>210</v>
      </c>
      <c r="J43" s="29" t="s">
        <v>211</v>
      </c>
      <c r="K43" s="87">
        <v>7.04</v>
      </c>
      <c r="L43" s="87">
        <v>6.8</v>
      </c>
      <c r="M43" s="396">
        <v>6.41</v>
      </c>
      <c r="N43" s="396">
        <v>6.7</v>
      </c>
      <c r="O43" s="178">
        <v>6.9875933999999997</v>
      </c>
      <c r="P43" s="389">
        <v>7.1282524250000003</v>
      </c>
      <c r="Q43" s="389">
        <v>7.1052878919999998</v>
      </c>
      <c r="R43" s="389">
        <v>7.1717640500000002</v>
      </c>
      <c r="S43" s="389">
        <v>7.1938758329999999</v>
      </c>
      <c r="T43" s="164"/>
      <c r="U43" s="164"/>
      <c r="V43" s="178">
        <f t="shared" si="4"/>
        <v>6.9566819428571431</v>
      </c>
      <c r="W43" s="89">
        <f t="shared" si="5"/>
        <v>0.3471585714285701</v>
      </c>
      <c r="X43" s="152" t="str">
        <f t="shared" si="6"/>
        <v>Needs Attention</v>
      </c>
      <c r="Y43" s="245" t="s">
        <v>344</v>
      </c>
      <c r="Z43" s="234">
        <v>46244</v>
      </c>
      <c r="AA43" s="171" t="s">
        <v>382</v>
      </c>
    </row>
    <row r="44" spans="1:28" s="14" customFormat="1" ht="34.950000000000003" customHeight="1" x14ac:dyDescent="0.3">
      <c r="A44" s="108">
        <v>56</v>
      </c>
      <c r="B44" s="85" t="s">
        <v>104</v>
      </c>
      <c r="C44" s="85">
        <v>7747</v>
      </c>
      <c r="D44" s="17" t="s">
        <v>248</v>
      </c>
      <c r="E44" s="17" t="s">
        <v>20</v>
      </c>
      <c r="F44" s="17" t="s">
        <v>249</v>
      </c>
      <c r="G44" s="17" t="s">
        <v>250</v>
      </c>
      <c r="H44" s="17" t="s">
        <v>93</v>
      </c>
      <c r="I44" s="85" t="s">
        <v>251</v>
      </c>
      <c r="J44" s="17" t="s">
        <v>252</v>
      </c>
      <c r="K44" s="93">
        <v>27620</v>
      </c>
      <c r="L44" s="93">
        <v>5524</v>
      </c>
      <c r="M44" s="61"/>
      <c r="N44" s="61"/>
      <c r="O44" s="61"/>
      <c r="P44" s="61"/>
      <c r="Q44" s="61"/>
      <c r="R44" s="61"/>
      <c r="S44" s="61"/>
      <c r="T44" s="61"/>
      <c r="U44" s="61"/>
      <c r="V44" s="62" t="str">
        <f t="shared" si="4"/>
        <v/>
      </c>
      <c r="W44" s="63" t="str">
        <f t="shared" si="5"/>
        <v/>
      </c>
      <c r="X44" s="149" t="str">
        <f t="shared" si="6"/>
        <v>No Data</v>
      </c>
      <c r="Y44" s="248" t="s">
        <v>355</v>
      </c>
      <c r="Z44" s="233"/>
      <c r="AA44" s="185"/>
      <c r="AB44" s="168"/>
    </row>
    <row r="45" spans="1:28" s="14" customFormat="1" ht="34.950000000000003" customHeight="1" x14ac:dyDescent="0.3">
      <c r="A45" s="266">
        <v>11</v>
      </c>
      <c r="B45" s="86" t="s">
        <v>104</v>
      </c>
      <c r="C45" s="86">
        <v>7448</v>
      </c>
      <c r="D45" s="29" t="s">
        <v>117</v>
      </c>
      <c r="E45" s="29" t="s">
        <v>20</v>
      </c>
      <c r="F45" s="29" t="s">
        <v>118</v>
      </c>
      <c r="G45" s="29" t="s">
        <v>119</v>
      </c>
      <c r="H45" s="29" t="s">
        <v>80</v>
      </c>
      <c r="I45" s="86" t="s">
        <v>85</v>
      </c>
      <c r="J45" s="29" t="s">
        <v>120</v>
      </c>
      <c r="K45" s="87">
        <v>77.25</v>
      </c>
      <c r="L45" s="87">
        <v>85</v>
      </c>
      <c r="M45" s="412">
        <v>95.1</v>
      </c>
      <c r="N45" s="412">
        <v>92.24</v>
      </c>
      <c r="O45" s="412">
        <v>87.6</v>
      </c>
      <c r="P45" s="412">
        <v>86.11</v>
      </c>
      <c r="Q45" s="412">
        <v>96.05</v>
      </c>
      <c r="R45" s="412">
        <v>90.87</v>
      </c>
      <c r="S45" s="412">
        <v>79.736842105263165</v>
      </c>
      <c r="T45" s="387">
        <v>75.555555555555557</v>
      </c>
      <c r="U45" s="387"/>
      <c r="V45" s="411">
        <f t="shared" si="4"/>
        <v>89.672406015037595</v>
      </c>
      <c r="W45" s="89">
        <f t="shared" si="5"/>
        <v>1.6028910987145284</v>
      </c>
      <c r="X45" s="152" t="str">
        <f t="shared" si="6"/>
        <v>Achieved</v>
      </c>
      <c r="Y45" s="245" t="s">
        <v>324</v>
      </c>
      <c r="Z45" s="233"/>
      <c r="AA45" s="185"/>
      <c r="AB45" s="168"/>
    </row>
    <row r="46" spans="1:28" s="14" customFormat="1" ht="34.950000000000003" customHeight="1" x14ac:dyDescent="0.3">
      <c r="A46" s="106">
        <v>12</v>
      </c>
      <c r="B46" s="85" t="s">
        <v>104</v>
      </c>
      <c r="C46" s="85">
        <v>7448</v>
      </c>
      <c r="D46" s="17" t="s">
        <v>117</v>
      </c>
      <c r="E46" s="17" t="s">
        <v>20</v>
      </c>
      <c r="F46" s="17" t="s">
        <v>118</v>
      </c>
      <c r="G46" s="17" t="s">
        <v>121</v>
      </c>
      <c r="H46" s="17" t="s">
        <v>80</v>
      </c>
      <c r="I46" s="85" t="s">
        <v>85</v>
      </c>
      <c r="J46" s="17" t="s">
        <v>120</v>
      </c>
      <c r="K46" s="61">
        <v>78.260000000000005</v>
      </c>
      <c r="L46" s="61">
        <v>85</v>
      </c>
      <c r="M46" s="414">
        <v>91.61</v>
      </c>
      <c r="N46" s="414">
        <v>94.07</v>
      </c>
      <c r="O46" s="414">
        <v>95.7</v>
      </c>
      <c r="P46" s="414">
        <v>95.96</v>
      </c>
      <c r="Q46" s="414">
        <v>96.46</v>
      </c>
      <c r="R46" s="414">
        <v>96.48</v>
      </c>
      <c r="S46" s="414">
        <v>96.287878787878782</v>
      </c>
      <c r="T46" s="414">
        <v>97.44</v>
      </c>
      <c r="U46" s="414"/>
      <c r="V46" s="415">
        <f t="shared" si="4"/>
        <v>95.223982683982669</v>
      </c>
      <c r="W46" s="63">
        <f t="shared" si="5"/>
        <v>2.516911377445501</v>
      </c>
      <c r="X46" s="149" t="str">
        <f t="shared" si="6"/>
        <v>Achieved</v>
      </c>
      <c r="Y46" s="245" t="s">
        <v>324</v>
      </c>
      <c r="Z46" s="237">
        <v>46246</v>
      </c>
      <c r="AA46" s="186" t="s">
        <v>734</v>
      </c>
      <c r="AB46" s="168"/>
    </row>
    <row r="47" spans="1:28" s="14" customFormat="1" ht="34.950000000000003" customHeight="1" x14ac:dyDescent="0.3">
      <c r="A47" s="253">
        <v>77</v>
      </c>
      <c r="B47" s="85" t="s">
        <v>104</v>
      </c>
      <c r="C47" s="85"/>
      <c r="D47" s="17" t="s">
        <v>306</v>
      </c>
      <c r="E47" s="17" t="s">
        <v>26</v>
      </c>
      <c r="F47" s="17" t="s">
        <v>307</v>
      </c>
      <c r="G47" s="211" t="s">
        <v>308</v>
      </c>
      <c r="H47" s="17" t="s">
        <v>80</v>
      </c>
      <c r="I47" s="85"/>
      <c r="J47" s="17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2" t="str">
        <f t="shared" si="4"/>
        <v/>
      </c>
      <c r="W47" s="63" t="str">
        <f t="shared" si="5"/>
        <v/>
      </c>
      <c r="X47" s="149" t="str">
        <f t="shared" si="6"/>
        <v>No Data</v>
      </c>
      <c r="Y47" s="248" t="s">
        <v>373</v>
      </c>
      <c r="Z47" s="234">
        <v>46244</v>
      </c>
      <c r="AA47" s="171" t="s">
        <v>382</v>
      </c>
    </row>
    <row r="48" spans="1:28" s="14" customFormat="1" ht="34.950000000000003" customHeight="1" x14ac:dyDescent="0.3">
      <c r="A48" s="110">
        <v>46</v>
      </c>
      <c r="B48" s="85" t="s">
        <v>104</v>
      </c>
      <c r="C48" s="85">
        <v>50360</v>
      </c>
      <c r="D48" s="17" t="s">
        <v>212</v>
      </c>
      <c r="E48" s="17" t="s">
        <v>22</v>
      </c>
      <c r="F48" s="17" t="s">
        <v>31</v>
      </c>
      <c r="G48" s="17" t="s">
        <v>986</v>
      </c>
      <c r="H48" s="17" t="s">
        <v>93</v>
      </c>
      <c r="I48" s="96" t="s">
        <v>85</v>
      </c>
      <c r="J48" s="17" t="s">
        <v>987</v>
      </c>
      <c r="K48" s="61">
        <v>17.760000000000002</v>
      </c>
      <c r="L48" s="61">
        <v>15</v>
      </c>
      <c r="M48" s="61"/>
      <c r="N48" s="61"/>
      <c r="O48" s="61"/>
      <c r="P48" s="390">
        <v>20.32</v>
      </c>
      <c r="Q48" s="390">
        <v>23.27</v>
      </c>
      <c r="R48" s="390">
        <v>21.27</v>
      </c>
      <c r="S48" s="61"/>
      <c r="T48" s="61"/>
      <c r="U48" s="61"/>
      <c r="V48" s="62">
        <f t="shared" si="4"/>
        <v>21.62</v>
      </c>
      <c r="W48" s="63">
        <f t="shared" si="5"/>
        <v>-1.3985507246376803</v>
      </c>
      <c r="X48" s="149" t="str">
        <f t="shared" si="6"/>
        <v>Needs Attention</v>
      </c>
      <c r="Y48" s="248" t="s">
        <v>345</v>
      </c>
      <c r="Z48" s="237">
        <v>46246</v>
      </c>
      <c r="AA48" s="185" t="s">
        <v>735</v>
      </c>
      <c r="AB48" s="168"/>
    </row>
    <row r="49" spans="1:28" s="14" customFormat="1" ht="34.950000000000003" customHeight="1" x14ac:dyDescent="0.3">
      <c r="A49" s="106">
        <v>24</v>
      </c>
      <c r="B49" s="85" t="s">
        <v>104</v>
      </c>
      <c r="C49" s="85">
        <v>4382</v>
      </c>
      <c r="D49" s="17" t="s">
        <v>143</v>
      </c>
      <c r="E49" s="17" t="s">
        <v>20</v>
      </c>
      <c r="F49" s="17" t="s">
        <v>41</v>
      </c>
      <c r="G49" s="17" t="s">
        <v>701</v>
      </c>
      <c r="H49" s="17" t="s">
        <v>93</v>
      </c>
      <c r="I49" s="85" t="s">
        <v>145</v>
      </c>
      <c r="J49" s="17" t="s">
        <v>146</v>
      </c>
      <c r="K49" s="61">
        <v>56</v>
      </c>
      <c r="L49" s="61">
        <v>46</v>
      </c>
      <c r="M49" s="398">
        <v>32</v>
      </c>
      <c r="N49" s="398">
        <v>14</v>
      </c>
      <c r="O49" s="398">
        <v>45</v>
      </c>
      <c r="P49" s="61"/>
      <c r="Q49" s="390">
        <v>80</v>
      </c>
      <c r="R49" s="207">
        <v>50</v>
      </c>
      <c r="S49" s="61"/>
      <c r="T49" s="61"/>
      <c r="U49" s="61"/>
      <c r="V49" s="400">
        <f t="shared" si="4"/>
        <v>44.2</v>
      </c>
      <c r="W49" s="63">
        <f t="shared" si="5"/>
        <v>1.1799999999999997</v>
      </c>
      <c r="X49" s="149" t="str">
        <f t="shared" si="6"/>
        <v>Achieved</v>
      </c>
      <c r="Y49" s="245" t="s">
        <v>330</v>
      </c>
      <c r="Z49" s="237">
        <v>46246</v>
      </c>
      <c r="AA49" s="186" t="s">
        <v>736</v>
      </c>
      <c r="AB49" s="168"/>
    </row>
    <row r="50" spans="1:28" s="14" customFormat="1" ht="34.950000000000003" customHeight="1" x14ac:dyDescent="0.3">
      <c r="A50" s="253">
        <v>25</v>
      </c>
      <c r="B50" s="86" t="s">
        <v>104</v>
      </c>
      <c r="C50" s="86">
        <v>4382</v>
      </c>
      <c r="D50" s="29" t="s">
        <v>143</v>
      </c>
      <c r="E50" s="29" t="s">
        <v>20</v>
      </c>
      <c r="F50" s="29" t="s">
        <v>41</v>
      </c>
      <c r="G50" s="29" t="s">
        <v>702</v>
      </c>
      <c r="H50" s="29" t="s">
        <v>93</v>
      </c>
      <c r="I50" s="86" t="s">
        <v>145</v>
      </c>
      <c r="J50" s="29" t="s">
        <v>146</v>
      </c>
      <c r="K50" s="87">
        <v>54</v>
      </c>
      <c r="L50" s="87">
        <v>44</v>
      </c>
      <c r="M50" s="401">
        <v>44</v>
      </c>
      <c r="N50" s="401">
        <v>34</v>
      </c>
      <c r="O50" s="401">
        <v>36</v>
      </c>
      <c r="P50" s="401">
        <v>33</v>
      </c>
      <c r="Q50" s="184">
        <v>47</v>
      </c>
      <c r="R50" s="387">
        <v>55</v>
      </c>
      <c r="S50" s="87"/>
      <c r="T50" s="87"/>
      <c r="U50" s="87"/>
      <c r="V50" s="397">
        <f t="shared" si="4"/>
        <v>41.5</v>
      </c>
      <c r="W50" s="89">
        <f t="shared" si="5"/>
        <v>1.25</v>
      </c>
      <c r="X50" s="152" t="str">
        <f t="shared" si="6"/>
        <v>Achieved</v>
      </c>
      <c r="Y50" s="245" t="s">
        <v>330</v>
      </c>
      <c r="Z50" s="234">
        <v>46244</v>
      </c>
      <c r="AA50" s="171" t="s">
        <v>382</v>
      </c>
    </row>
    <row r="51" spans="1:28" s="14" customFormat="1" ht="34.950000000000003" customHeight="1" x14ac:dyDescent="0.3">
      <c r="A51" s="266">
        <v>26</v>
      </c>
      <c r="B51" s="85" t="s">
        <v>104</v>
      </c>
      <c r="C51" s="85">
        <v>4382</v>
      </c>
      <c r="D51" s="17" t="s">
        <v>143</v>
      </c>
      <c r="E51" s="17" t="s">
        <v>20</v>
      </c>
      <c r="F51" s="17" t="s">
        <v>41</v>
      </c>
      <c r="G51" s="17" t="s">
        <v>703</v>
      </c>
      <c r="H51" s="17" t="s">
        <v>93</v>
      </c>
      <c r="I51" s="85" t="s">
        <v>145</v>
      </c>
      <c r="J51" s="17" t="s">
        <v>146</v>
      </c>
      <c r="K51" s="61">
        <v>81</v>
      </c>
      <c r="L51" s="61">
        <v>60</v>
      </c>
      <c r="M51" s="207">
        <v>62</v>
      </c>
      <c r="N51" s="398">
        <v>50</v>
      </c>
      <c r="O51" s="207">
        <v>65</v>
      </c>
      <c r="P51" s="391">
        <v>89</v>
      </c>
      <c r="Q51" s="391">
        <v>91</v>
      </c>
      <c r="R51" s="404">
        <v>34</v>
      </c>
      <c r="S51" s="261"/>
      <c r="T51" s="61"/>
      <c r="U51" s="61"/>
      <c r="V51" s="400">
        <f t="shared" si="4"/>
        <v>65.166666666666671</v>
      </c>
      <c r="W51" s="63">
        <f t="shared" si="5"/>
        <v>0.75396825396825373</v>
      </c>
      <c r="X51" s="149" t="str">
        <f t="shared" si="6"/>
        <v>On Track</v>
      </c>
      <c r="Y51" s="245" t="s">
        <v>330</v>
      </c>
      <c r="Z51" s="234">
        <v>46244</v>
      </c>
      <c r="AA51" s="171" t="s">
        <v>382</v>
      </c>
    </row>
    <row r="52" spans="1:28" s="14" customFormat="1" ht="34.950000000000003" customHeight="1" x14ac:dyDescent="0.3">
      <c r="A52" s="106">
        <v>27</v>
      </c>
      <c r="B52" s="86" t="s">
        <v>104</v>
      </c>
      <c r="C52" s="86">
        <v>4382</v>
      </c>
      <c r="D52" s="29" t="s">
        <v>143</v>
      </c>
      <c r="E52" s="29" t="s">
        <v>20</v>
      </c>
      <c r="F52" s="29" t="s">
        <v>41</v>
      </c>
      <c r="G52" s="29" t="s">
        <v>704</v>
      </c>
      <c r="H52" s="29" t="s">
        <v>93</v>
      </c>
      <c r="I52" s="86" t="s">
        <v>145</v>
      </c>
      <c r="J52" s="29" t="s">
        <v>146</v>
      </c>
      <c r="K52" s="87">
        <v>74</v>
      </c>
      <c r="L52" s="87">
        <v>50</v>
      </c>
      <c r="M52" s="401">
        <v>21</v>
      </c>
      <c r="N52" s="401">
        <v>28</v>
      </c>
      <c r="O52" s="207">
        <v>55</v>
      </c>
      <c r="P52" s="401">
        <v>19</v>
      </c>
      <c r="Q52" s="207">
        <v>57</v>
      </c>
      <c r="R52" s="401">
        <v>50</v>
      </c>
      <c r="S52" s="87"/>
      <c r="T52" s="87"/>
      <c r="U52" s="87"/>
      <c r="V52" s="397">
        <f t="shared" si="4"/>
        <v>38.333333333333336</v>
      </c>
      <c r="W52" s="89">
        <f t="shared" si="5"/>
        <v>1.4861111111111109</v>
      </c>
      <c r="X52" s="152" t="str">
        <f t="shared" si="6"/>
        <v>Achieved</v>
      </c>
      <c r="Y52" s="245" t="s">
        <v>330</v>
      </c>
      <c r="Z52" s="233"/>
      <c r="AA52" s="185"/>
      <c r="AB52" s="168"/>
    </row>
    <row r="53" spans="1:28" s="14" customFormat="1" ht="34.950000000000003" customHeight="1" x14ac:dyDescent="0.3">
      <c r="A53" s="108">
        <v>20</v>
      </c>
      <c r="B53" s="85" t="s">
        <v>104</v>
      </c>
      <c r="C53" s="85">
        <v>7313</v>
      </c>
      <c r="D53" s="17" t="s">
        <v>135</v>
      </c>
      <c r="E53" s="17" t="s">
        <v>20</v>
      </c>
      <c r="F53" s="17" t="s">
        <v>33</v>
      </c>
      <c r="G53" s="17" t="s">
        <v>989</v>
      </c>
      <c r="H53" s="17" t="s">
        <v>80</v>
      </c>
      <c r="I53" s="85" t="s">
        <v>137</v>
      </c>
      <c r="J53" s="17" t="s">
        <v>181</v>
      </c>
      <c r="K53" s="61">
        <v>3.46</v>
      </c>
      <c r="L53" s="156">
        <v>3.6059999999999999</v>
      </c>
      <c r="M53" s="392">
        <v>3.4079999999999999</v>
      </c>
      <c r="N53" s="392">
        <v>3.395</v>
      </c>
      <c r="O53" s="392">
        <v>3.4239999999999999</v>
      </c>
      <c r="P53" s="175">
        <v>3.5219</v>
      </c>
      <c r="Q53" s="175">
        <v>3.496</v>
      </c>
      <c r="R53" s="175">
        <v>3.51</v>
      </c>
      <c r="S53" s="175">
        <v>3.5512999999999999</v>
      </c>
      <c r="T53" s="207">
        <v>3.5226999999999999</v>
      </c>
      <c r="U53" s="207"/>
      <c r="V53" s="393">
        <f t="shared" si="4"/>
        <v>3.4723142857142859</v>
      </c>
      <c r="W53" s="63">
        <f t="shared" si="5"/>
        <v>8.4344422700588714E-2</v>
      </c>
      <c r="X53" s="149" t="str">
        <f t="shared" si="6"/>
        <v>Needs Attention</v>
      </c>
      <c r="Y53" s="245" t="s">
        <v>328</v>
      </c>
      <c r="Z53" s="234">
        <v>46244</v>
      </c>
      <c r="AA53" s="171" t="s">
        <v>382</v>
      </c>
    </row>
    <row r="54" spans="1:28" s="14" customFormat="1" ht="34.950000000000003" customHeight="1" x14ac:dyDescent="0.3">
      <c r="A54" s="110">
        <v>3</v>
      </c>
      <c r="B54" s="85" t="s">
        <v>76</v>
      </c>
      <c r="C54" s="85">
        <v>4</v>
      </c>
      <c r="D54" s="17" t="s">
        <v>87</v>
      </c>
      <c r="E54" s="17" t="s">
        <v>20</v>
      </c>
      <c r="F54" s="17" t="s">
        <v>46</v>
      </c>
      <c r="G54" s="17" t="s">
        <v>88</v>
      </c>
      <c r="H54" s="17" t="s">
        <v>80</v>
      </c>
      <c r="I54" s="85" t="s">
        <v>89</v>
      </c>
      <c r="J54" s="17" t="s">
        <v>90</v>
      </c>
      <c r="K54" s="61">
        <v>0.78</v>
      </c>
      <c r="L54" s="61">
        <v>0.83</v>
      </c>
      <c r="M54" s="175">
        <v>0.79</v>
      </c>
      <c r="N54" s="392">
        <v>0.73</v>
      </c>
      <c r="O54" s="175">
        <v>0.80298469298245601</v>
      </c>
      <c r="P54" s="175">
        <v>0.77706842105263196</v>
      </c>
      <c r="Q54" s="175">
        <v>0.79189894736842104</v>
      </c>
      <c r="R54" s="392">
        <v>0.73794201754386002</v>
      </c>
      <c r="S54" s="165"/>
      <c r="T54" s="165"/>
      <c r="U54" s="165"/>
      <c r="V54" s="393">
        <f t="shared" si="4"/>
        <v>0.7716490131578948</v>
      </c>
      <c r="W54" s="63">
        <f t="shared" si="5"/>
        <v>-0.16701973684210469</v>
      </c>
      <c r="X54" s="149" t="str">
        <f t="shared" si="6"/>
        <v>Needs Attention</v>
      </c>
      <c r="Y54" s="245" t="s">
        <v>319</v>
      </c>
      <c r="Z54" s="233"/>
      <c r="AA54" s="185"/>
      <c r="AB54" s="168"/>
    </row>
    <row r="55" spans="1:28" s="14" customFormat="1" ht="34.950000000000003" customHeight="1" x14ac:dyDescent="0.3">
      <c r="A55" s="252">
        <v>74</v>
      </c>
      <c r="B55" s="86" t="s">
        <v>76</v>
      </c>
      <c r="C55" s="86">
        <v>10811</v>
      </c>
      <c r="D55" s="29" t="s">
        <v>298</v>
      </c>
      <c r="E55" s="29" t="s">
        <v>24</v>
      </c>
      <c r="F55" s="29" t="s">
        <v>31</v>
      </c>
      <c r="G55" s="29" t="s">
        <v>299</v>
      </c>
      <c r="H55" s="29" t="s">
        <v>80</v>
      </c>
      <c r="I55" s="86"/>
      <c r="J55" s="29"/>
      <c r="K55" s="87"/>
      <c r="L55" s="87"/>
      <c r="M55" s="164"/>
      <c r="N55" s="164"/>
      <c r="O55" s="164"/>
      <c r="P55" s="164"/>
      <c r="Q55" s="164"/>
      <c r="R55" s="164"/>
      <c r="S55" s="164"/>
      <c r="T55" s="164"/>
      <c r="U55" s="164"/>
      <c r="V55" s="88" t="str">
        <f t="shared" si="4"/>
        <v/>
      </c>
      <c r="W55" s="89" t="str">
        <f t="shared" si="5"/>
        <v/>
      </c>
      <c r="X55" s="152" t="str">
        <f t="shared" si="6"/>
        <v>No Data</v>
      </c>
      <c r="Y55" s="248" t="s">
        <v>370</v>
      </c>
      <c r="Z55" s="233"/>
      <c r="AA55" s="186" t="s">
        <v>737</v>
      </c>
      <c r="AB55" s="168"/>
    </row>
    <row r="56" spans="1:28" s="14" customFormat="1" ht="34.950000000000003" customHeight="1" x14ac:dyDescent="0.3">
      <c r="A56" s="108">
        <v>14</v>
      </c>
      <c r="B56" s="85" t="s">
        <v>104</v>
      </c>
      <c r="C56" s="85">
        <v>48956</v>
      </c>
      <c r="D56" s="17" t="s">
        <v>124</v>
      </c>
      <c r="E56" s="17" t="s">
        <v>22</v>
      </c>
      <c r="F56" s="17" t="s">
        <v>39</v>
      </c>
      <c r="G56" s="17" t="s">
        <v>125</v>
      </c>
      <c r="H56" s="17" t="s">
        <v>80</v>
      </c>
      <c r="I56" s="85" t="s">
        <v>85</v>
      </c>
      <c r="J56" s="17" t="s">
        <v>126</v>
      </c>
      <c r="K56" s="61">
        <v>87</v>
      </c>
      <c r="L56" s="61">
        <v>90</v>
      </c>
      <c r="M56" s="61"/>
      <c r="N56" s="61"/>
      <c r="O56" s="61"/>
      <c r="P56" s="61"/>
      <c r="Q56" s="61"/>
      <c r="R56" s="61"/>
      <c r="S56" s="61"/>
      <c r="T56" s="61"/>
      <c r="U56" s="61"/>
      <c r="V56" s="62" t="str">
        <f t="shared" si="4"/>
        <v/>
      </c>
      <c r="W56" s="63" t="str">
        <f t="shared" si="5"/>
        <v/>
      </c>
      <c r="X56" s="149" t="str">
        <f t="shared" si="6"/>
        <v>No Data</v>
      </c>
      <c r="Y56" s="245" t="s">
        <v>326</v>
      </c>
      <c r="Z56" s="233"/>
      <c r="AA56" s="185"/>
      <c r="AB56" s="168"/>
    </row>
    <row r="57" spans="1:28" s="14" customFormat="1" ht="34.950000000000003" customHeight="1" x14ac:dyDescent="0.3">
      <c r="A57" s="110">
        <v>15</v>
      </c>
      <c r="B57" s="86" t="s">
        <v>104</v>
      </c>
      <c r="C57" s="86">
        <v>48956</v>
      </c>
      <c r="D57" s="29" t="s">
        <v>124</v>
      </c>
      <c r="E57" s="29" t="s">
        <v>22</v>
      </c>
      <c r="F57" s="29" t="s">
        <v>39</v>
      </c>
      <c r="G57" s="29" t="s">
        <v>127</v>
      </c>
      <c r="H57" s="29" t="s">
        <v>80</v>
      </c>
      <c r="I57" s="86" t="s">
        <v>85</v>
      </c>
      <c r="J57" s="29" t="s">
        <v>126</v>
      </c>
      <c r="K57" s="87">
        <v>88.79</v>
      </c>
      <c r="L57" s="87">
        <v>90</v>
      </c>
      <c r="M57" s="87"/>
      <c r="N57" s="387">
        <v>86.16</v>
      </c>
      <c r="O57" s="387">
        <v>84.35</v>
      </c>
      <c r="P57" s="87"/>
      <c r="Q57" s="87"/>
      <c r="R57" s="387">
        <v>83.39</v>
      </c>
      <c r="S57" s="87">
        <v>80.25</v>
      </c>
      <c r="T57" s="387">
        <v>86.3</v>
      </c>
      <c r="U57" s="387"/>
      <c r="V57" s="388">
        <f t="shared" si="4"/>
        <v>83.537499999999994</v>
      </c>
      <c r="W57" s="89">
        <f t="shared" si="5"/>
        <v>-4.3409090909091228</v>
      </c>
      <c r="X57" s="152" t="str">
        <f t="shared" si="6"/>
        <v>Needs Attention</v>
      </c>
      <c r="Y57" s="245" t="s">
        <v>326</v>
      </c>
      <c r="Z57" s="233"/>
      <c r="AA57" s="185"/>
      <c r="AB57" s="168"/>
    </row>
    <row r="58" spans="1:28" s="14" customFormat="1" ht="34.950000000000003" customHeight="1" x14ac:dyDescent="0.3">
      <c r="A58" s="106">
        <v>16</v>
      </c>
      <c r="B58" s="85" t="s">
        <v>104</v>
      </c>
      <c r="C58" s="85">
        <v>48956</v>
      </c>
      <c r="D58" s="17" t="s">
        <v>124</v>
      </c>
      <c r="E58" s="17" t="s">
        <v>22</v>
      </c>
      <c r="F58" s="17" t="s">
        <v>39</v>
      </c>
      <c r="G58" s="90" t="s">
        <v>128</v>
      </c>
      <c r="H58" s="17" t="s">
        <v>80</v>
      </c>
      <c r="I58" s="85" t="s">
        <v>85</v>
      </c>
      <c r="J58" s="17" t="s">
        <v>129</v>
      </c>
      <c r="K58" s="61">
        <v>86.53</v>
      </c>
      <c r="L58" s="61">
        <v>90</v>
      </c>
      <c r="M58" s="207">
        <v>87.19</v>
      </c>
      <c r="N58" s="414">
        <v>90.3</v>
      </c>
      <c r="O58" s="414">
        <v>90.17</v>
      </c>
      <c r="P58" s="61"/>
      <c r="Q58" s="414">
        <v>90.89</v>
      </c>
      <c r="R58" s="61"/>
      <c r="S58" s="414">
        <v>91.23</v>
      </c>
      <c r="T58" s="207">
        <v>87.71</v>
      </c>
      <c r="U58" s="207"/>
      <c r="V58" s="177">
        <f t="shared" si="4"/>
        <v>89.956000000000003</v>
      </c>
      <c r="W58" s="63">
        <f t="shared" si="5"/>
        <v>0.98731988472622567</v>
      </c>
      <c r="X58" s="149" t="str">
        <f t="shared" si="6"/>
        <v>On Track</v>
      </c>
      <c r="Y58" s="245" t="s">
        <v>326</v>
      </c>
      <c r="Z58" s="234">
        <v>46244</v>
      </c>
      <c r="AA58" s="170" t="s">
        <v>387</v>
      </c>
    </row>
    <row r="59" spans="1:28" s="14" customFormat="1" ht="34.950000000000003" customHeight="1" x14ac:dyDescent="0.3">
      <c r="A59" s="253">
        <v>21</v>
      </c>
      <c r="B59" s="86" t="s">
        <v>76</v>
      </c>
      <c r="C59" s="86">
        <v>0</v>
      </c>
      <c r="D59" s="29" t="s">
        <v>138</v>
      </c>
      <c r="E59" s="29" t="s">
        <v>20</v>
      </c>
      <c r="F59" s="29" t="s">
        <v>33</v>
      </c>
      <c r="G59" s="29" t="s">
        <v>375</v>
      </c>
      <c r="H59" s="29" t="s">
        <v>93</v>
      </c>
      <c r="I59" s="86" t="s">
        <v>140</v>
      </c>
      <c r="J59" s="29" t="s">
        <v>191</v>
      </c>
      <c r="K59" s="87">
        <v>613</v>
      </c>
      <c r="L59" s="87">
        <v>550</v>
      </c>
      <c r="M59" s="392">
        <v>627.37032258064517</v>
      </c>
      <c r="N59" s="210">
        <v>609.07142857142856</v>
      </c>
      <c r="O59" s="210">
        <v>604.26666666666665</v>
      </c>
      <c r="P59" s="210">
        <v>596.83333333333337</v>
      </c>
      <c r="Q59" s="210">
        <v>610.33574607605578</v>
      </c>
      <c r="R59" s="210">
        <v>592.04352473440076</v>
      </c>
      <c r="S59" s="210">
        <v>593</v>
      </c>
      <c r="T59" s="210">
        <v>595</v>
      </c>
      <c r="U59" s="210"/>
      <c r="V59" s="178">
        <f t="shared" si="4"/>
        <v>604.70300313750431</v>
      </c>
      <c r="W59" s="89">
        <f t="shared" si="5"/>
        <v>0.13169836289675696</v>
      </c>
      <c r="X59" s="152" t="str">
        <f t="shared" si="6"/>
        <v>Needs Attention</v>
      </c>
      <c r="Y59" s="245" t="s">
        <v>329</v>
      </c>
      <c r="Z59" s="233"/>
      <c r="AA59" s="168"/>
    </row>
    <row r="60" spans="1:28" s="14" customFormat="1" ht="34.950000000000003" customHeight="1" x14ac:dyDescent="0.3">
      <c r="A60" s="110">
        <v>22</v>
      </c>
      <c r="B60" s="85" t="s">
        <v>76</v>
      </c>
      <c r="C60" s="85"/>
      <c r="D60" s="17" t="s">
        <v>138</v>
      </c>
      <c r="E60" s="17" t="s">
        <v>20</v>
      </c>
      <c r="F60" s="17" t="s">
        <v>33</v>
      </c>
      <c r="G60" s="17" t="s">
        <v>384</v>
      </c>
      <c r="H60" s="17" t="s">
        <v>93</v>
      </c>
      <c r="I60" s="85" t="s">
        <v>140</v>
      </c>
      <c r="J60" s="29" t="s">
        <v>191</v>
      </c>
      <c r="K60" s="61">
        <v>492</v>
      </c>
      <c r="L60" s="61">
        <v>400</v>
      </c>
      <c r="M60" s="392">
        <v>528.61290322580646</v>
      </c>
      <c r="N60" s="394">
        <v>508.78571428571428</v>
      </c>
      <c r="O60" s="179">
        <v>483.53333333333336</v>
      </c>
      <c r="P60" s="179">
        <v>476.96666666666664</v>
      </c>
      <c r="Q60" s="179">
        <v>488.42205416394256</v>
      </c>
      <c r="R60" s="179">
        <v>451.01637249689213</v>
      </c>
      <c r="S60" s="179">
        <v>460</v>
      </c>
      <c r="T60" s="179">
        <v>461</v>
      </c>
      <c r="U60" s="179"/>
      <c r="V60" s="393">
        <f t="shared" si="4"/>
        <v>485.33386345319366</v>
      </c>
      <c r="W60" s="63">
        <f t="shared" si="5"/>
        <v>7.2458005943547205E-2</v>
      </c>
      <c r="X60" s="149" t="str">
        <f t="shared" si="6"/>
        <v>Needs Attention</v>
      </c>
      <c r="Y60" s="245" t="s">
        <v>329</v>
      </c>
      <c r="Z60" s="237">
        <v>46246</v>
      </c>
      <c r="AA60" s="185" t="s">
        <v>733</v>
      </c>
      <c r="AB60" s="168"/>
    </row>
    <row r="61" spans="1:28" s="14" customFormat="1" ht="34.950000000000003" customHeight="1" x14ac:dyDescent="0.3">
      <c r="A61" s="252">
        <v>23</v>
      </c>
      <c r="B61" s="86" t="s">
        <v>76</v>
      </c>
      <c r="C61" s="86"/>
      <c r="D61" s="29" t="s">
        <v>138</v>
      </c>
      <c r="E61" s="29" t="s">
        <v>20</v>
      </c>
      <c r="F61" s="29" t="s">
        <v>33</v>
      </c>
      <c r="G61" s="29" t="s">
        <v>993</v>
      </c>
      <c r="H61" s="29" t="s">
        <v>80</v>
      </c>
      <c r="I61" s="86" t="s">
        <v>140</v>
      </c>
      <c r="J61" s="29" t="s">
        <v>191</v>
      </c>
      <c r="K61" s="87">
        <v>118</v>
      </c>
      <c r="L61" s="87">
        <v>150</v>
      </c>
      <c r="M61" s="392">
        <v>98.757419354838717</v>
      </c>
      <c r="N61" s="392">
        <v>100.28571428571429</v>
      </c>
      <c r="O61" s="179">
        <v>120.73333333333333</v>
      </c>
      <c r="P61" s="179">
        <v>119.86666666666666</v>
      </c>
      <c r="Q61" s="179">
        <v>121.91369191211311</v>
      </c>
      <c r="R61" s="179">
        <v>141.02715223750849</v>
      </c>
      <c r="S61" s="179">
        <v>133</v>
      </c>
      <c r="T61" s="179">
        <v>134</v>
      </c>
      <c r="U61" s="179"/>
      <c r="V61" s="388">
        <f t="shared" si="4"/>
        <v>119.36913968431067</v>
      </c>
      <c r="W61" s="89">
        <f t="shared" si="5"/>
        <v>4.2785615134708355E-2</v>
      </c>
      <c r="X61" s="152" t="str">
        <f t="shared" si="6"/>
        <v>Needs Attention</v>
      </c>
      <c r="Y61" s="245" t="s">
        <v>329</v>
      </c>
      <c r="Z61" s="233"/>
      <c r="AA61" s="168"/>
    </row>
    <row r="62" spans="1:28" s="14" customFormat="1" ht="34.950000000000003" customHeight="1" x14ac:dyDescent="0.3">
      <c r="A62" s="253">
        <v>4</v>
      </c>
      <c r="B62" s="86" t="s">
        <v>76</v>
      </c>
      <c r="C62" s="86">
        <v>10818</v>
      </c>
      <c r="D62" s="29" t="s">
        <v>91</v>
      </c>
      <c r="E62" s="29" t="s">
        <v>20</v>
      </c>
      <c r="F62" s="29" t="s">
        <v>47</v>
      </c>
      <c r="G62" s="29" t="s">
        <v>984</v>
      </c>
      <c r="H62" s="29" t="s">
        <v>93</v>
      </c>
      <c r="I62" s="86" t="s">
        <v>85</v>
      </c>
      <c r="J62" s="29" t="s">
        <v>94</v>
      </c>
      <c r="K62" s="87">
        <v>9.9</v>
      </c>
      <c r="L62" s="87">
        <v>6.9</v>
      </c>
      <c r="M62" s="173">
        <v>7.03</v>
      </c>
      <c r="N62" s="396">
        <v>6.83</v>
      </c>
      <c r="O62" s="173">
        <v>8.1199999999999992</v>
      </c>
      <c r="P62" s="173">
        <v>9.3800000000000008</v>
      </c>
      <c r="Q62" s="173">
        <v>9.9600000000000009</v>
      </c>
      <c r="R62" s="173">
        <v>8.34</v>
      </c>
      <c r="S62" s="173">
        <v>7.41</v>
      </c>
      <c r="T62" s="164"/>
      <c r="U62" s="164"/>
      <c r="V62" s="178">
        <f t="shared" si="4"/>
        <v>8.1528571428571421</v>
      </c>
      <c r="W62" s="89">
        <f t="shared" si="5"/>
        <v>0.58238095238095278</v>
      </c>
      <c r="X62" s="152" t="str">
        <f t="shared" si="6"/>
        <v>On Track</v>
      </c>
      <c r="Y62" s="245" t="s">
        <v>316</v>
      </c>
      <c r="Z62" s="237">
        <v>46246</v>
      </c>
      <c r="AA62" s="186" t="s">
        <v>739</v>
      </c>
      <c r="AB62" s="168"/>
    </row>
    <row r="63" spans="1:28" s="14" customFormat="1" ht="34.950000000000003" customHeight="1" x14ac:dyDescent="0.3">
      <c r="A63" s="266">
        <v>5</v>
      </c>
      <c r="B63" s="86" t="s">
        <v>76</v>
      </c>
      <c r="C63" s="86">
        <v>4939</v>
      </c>
      <c r="D63" s="29" t="s">
        <v>96</v>
      </c>
      <c r="E63" s="29" t="s">
        <v>20</v>
      </c>
      <c r="F63" s="29" t="s">
        <v>48</v>
      </c>
      <c r="G63" s="29" t="s">
        <v>97</v>
      </c>
      <c r="H63" s="29" t="s">
        <v>80</v>
      </c>
      <c r="I63" s="86" t="s">
        <v>85</v>
      </c>
      <c r="J63" s="29" t="s">
        <v>98</v>
      </c>
      <c r="K63" s="87">
        <v>84.48</v>
      </c>
      <c r="L63" s="87">
        <v>90</v>
      </c>
      <c r="M63" s="410">
        <v>97.037037037036995</v>
      </c>
      <c r="N63" s="394">
        <v>81.4583333333333</v>
      </c>
      <c r="O63" s="394">
        <v>73.8888888888889</v>
      </c>
      <c r="P63" s="173">
        <v>86.923076923076906</v>
      </c>
      <c r="Q63" s="173">
        <v>86.5555555555556</v>
      </c>
      <c r="R63" s="410">
        <v>93.32</v>
      </c>
      <c r="S63" s="410">
        <v>95.833333333333343</v>
      </c>
      <c r="T63" s="394">
        <v>76.981481481481481</v>
      </c>
      <c r="U63" s="394"/>
      <c r="V63" s="411">
        <f t="shared" si="4"/>
        <v>87.859460724460718</v>
      </c>
      <c r="W63" s="89">
        <f t="shared" si="5"/>
        <v>0.61222114573563691</v>
      </c>
      <c r="X63" s="152" t="str">
        <f t="shared" si="6"/>
        <v>On Track</v>
      </c>
      <c r="Y63" s="245" t="s">
        <v>320</v>
      </c>
      <c r="Z63" s="233"/>
      <c r="AA63" s="185"/>
      <c r="AB63" s="168"/>
    </row>
    <row r="64" spans="1:28" s="14" customFormat="1" ht="34.950000000000003" customHeight="1" x14ac:dyDescent="0.3">
      <c r="A64" s="106">
        <v>6</v>
      </c>
      <c r="B64" s="85" t="s">
        <v>76</v>
      </c>
      <c r="C64" s="86">
        <v>4939</v>
      </c>
      <c r="D64" s="17" t="s">
        <v>96</v>
      </c>
      <c r="E64" s="17" t="s">
        <v>20</v>
      </c>
      <c r="F64" s="17" t="s">
        <v>48</v>
      </c>
      <c r="G64" s="17" t="s">
        <v>99</v>
      </c>
      <c r="H64" s="17" t="s">
        <v>80</v>
      </c>
      <c r="I64" s="85" t="s">
        <v>85</v>
      </c>
      <c r="J64" s="17" t="s">
        <v>98</v>
      </c>
      <c r="K64" s="61">
        <v>81.77</v>
      </c>
      <c r="L64" s="61">
        <v>90</v>
      </c>
      <c r="M64" s="417">
        <v>99.722222222222229</v>
      </c>
      <c r="N64" s="417">
        <v>95.264583333333334</v>
      </c>
      <c r="O64" s="417">
        <v>98.975925925925935</v>
      </c>
      <c r="P64" s="417">
        <v>95.630769230769232</v>
      </c>
      <c r="Q64" s="417">
        <v>96.611111111111114</v>
      </c>
      <c r="R64" s="417">
        <v>99.390384615384619</v>
      </c>
      <c r="S64" s="416">
        <v>99.629629629629633</v>
      </c>
      <c r="T64" s="416">
        <v>98.5</v>
      </c>
      <c r="U64" s="419"/>
      <c r="V64" s="415">
        <f t="shared" si="4"/>
        <v>97.889232295482302</v>
      </c>
      <c r="W64" s="63">
        <f t="shared" si="5"/>
        <v>1.958594446595662</v>
      </c>
      <c r="X64" s="149" t="str">
        <f t="shared" si="6"/>
        <v>Achieved</v>
      </c>
      <c r="Y64" s="245" t="s">
        <v>320</v>
      </c>
      <c r="Z64" s="233"/>
      <c r="AA64" s="186" t="s">
        <v>738</v>
      </c>
      <c r="AB64" s="168"/>
    </row>
    <row r="65" spans="1:28" s="14" customFormat="1" ht="34.950000000000003" customHeight="1" x14ac:dyDescent="0.3">
      <c r="A65" s="108">
        <v>17</v>
      </c>
      <c r="B65" s="86" t="s">
        <v>76</v>
      </c>
      <c r="C65" s="86">
        <v>49269</v>
      </c>
      <c r="D65" s="29" t="s">
        <v>130</v>
      </c>
      <c r="E65" s="29" t="s">
        <v>22</v>
      </c>
      <c r="F65" s="29" t="s">
        <v>37</v>
      </c>
      <c r="G65" s="29" t="s">
        <v>376</v>
      </c>
      <c r="H65" s="29" t="s">
        <v>80</v>
      </c>
      <c r="I65" s="86" t="s">
        <v>85</v>
      </c>
      <c r="J65" s="29" t="s">
        <v>132</v>
      </c>
      <c r="K65" s="87">
        <v>84.53</v>
      </c>
      <c r="L65" s="87">
        <v>88</v>
      </c>
      <c r="M65" s="173">
        <v>85.3</v>
      </c>
      <c r="N65" s="173">
        <v>86.08</v>
      </c>
      <c r="O65" s="394">
        <v>84.1</v>
      </c>
      <c r="P65" s="394">
        <v>81.44</v>
      </c>
      <c r="Q65" s="173">
        <v>84.68</v>
      </c>
      <c r="R65" s="173">
        <v>85.038333333333398</v>
      </c>
      <c r="S65" s="394">
        <v>82.817666666666653</v>
      </c>
      <c r="T65" s="164"/>
      <c r="U65" s="164"/>
      <c r="V65" s="388">
        <f t="shared" si="4"/>
        <v>84.207999999999998</v>
      </c>
      <c r="W65" s="89">
        <f t="shared" si="5"/>
        <v>-9.2795389048992177E-2</v>
      </c>
      <c r="X65" s="152" t="str">
        <f t="shared" si="6"/>
        <v>Needs Attention</v>
      </c>
      <c r="Y65" s="245" t="s">
        <v>327</v>
      </c>
      <c r="Z65" s="233"/>
      <c r="AA65" s="168"/>
    </row>
    <row r="66" spans="1:28" s="14" customFormat="1" ht="34.950000000000003" customHeight="1" x14ac:dyDescent="0.3">
      <c r="A66" s="110">
        <v>18</v>
      </c>
      <c r="B66" s="85" t="s">
        <v>76</v>
      </c>
      <c r="C66" s="85">
        <v>49269</v>
      </c>
      <c r="D66" s="17" t="s">
        <v>130</v>
      </c>
      <c r="E66" s="17" t="s">
        <v>22</v>
      </c>
      <c r="F66" s="17" t="s">
        <v>37</v>
      </c>
      <c r="G66" s="17" t="s">
        <v>133</v>
      </c>
      <c r="H66" s="17" t="s">
        <v>80</v>
      </c>
      <c r="I66" s="85" t="s">
        <v>85</v>
      </c>
      <c r="J66" s="17" t="s">
        <v>132</v>
      </c>
      <c r="K66" s="61">
        <v>80.23</v>
      </c>
      <c r="L66" s="61">
        <v>85</v>
      </c>
      <c r="M66" s="392">
        <v>76.27</v>
      </c>
      <c r="N66" s="175">
        <v>84.1</v>
      </c>
      <c r="O66" s="392">
        <v>79.73</v>
      </c>
      <c r="P66" s="175">
        <v>83.02</v>
      </c>
      <c r="Q66" s="175">
        <v>82.88</v>
      </c>
      <c r="R66" s="399">
        <v>90.060666666666705</v>
      </c>
      <c r="S66" s="175">
        <v>84.777096774193566</v>
      </c>
      <c r="T66" s="165"/>
      <c r="U66" s="165"/>
      <c r="V66" s="177">
        <f t="shared" si="4"/>
        <v>82.976823348694325</v>
      </c>
      <c r="W66" s="63">
        <f t="shared" si="5"/>
        <v>0.57585395150824381</v>
      </c>
      <c r="X66" s="149" t="str">
        <f t="shared" si="6"/>
        <v>On Track</v>
      </c>
      <c r="Y66" s="245" t="s">
        <v>327</v>
      </c>
      <c r="Z66" s="233"/>
      <c r="AA66" s="168"/>
    </row>
    <row r="67" spans="1:28" s="14" customFormat="1" ht="34.950000000000003" customHeight="1" x14ac:dyDescent="0.3">
      <c r="A67" s="106">
        <v>19</v>
      </c>
      <c r="B67" s="86" t="s">
        <v>76</v>
      </c>
      <c r="C67" s="86">
        <v>49269</v>
      </c>
      <c r="D67" s="29" t="s">
        <v>130</v>
      </c>
      <c r="E67" s="29" t="s">
        <v>22</v>
      </c>
      <c r="F67" s="29" t="s">
        <v>37</v>
      </c>
      <c r="G67" s="29" t="s">
        <v>134</v>
      </c>
      <c r="H67" s="29" t="s">
        <v>80</v>
      </c>
      <c r="I67" s="86" t="s">
        <v>85</v>
      </c>
      <c r="J67" s="29" t="s">
        <v>132</v>
      </c>
      <c r="K67" s="87">
        <v>87.83</v>
      </c>
      <c r="L67" s="87">
        <v>90</v>
      </c>
      <c r="M67" s="394">
        <v>87.7</v>
      </c>
      <c r="N67" s="394">
        <v>87.18</v>
      </c>
      <c r="O67" s="394">
        <v>84.24</v>
      </c>
      <c r="P67" s="394">
        <v>83.85</v>
      </c>
      <c r="Q67" s="394">
        <v>86.15</v>
      </c>
      <c r="R67" s="394">
        <v>74.461666666666702</v>
      </c>
      <c r="S67" s="173">
        <v>88.493225806451633</v>
      </c>
      <c r="T67" s="164"/>
      <c r="U67" s="164"/>
      <c r="V67" s="388">
        <f t="shared" si="4"/>
        <v>84.582127496159757</v>
      </c>
      <c r="W67" s="89">
        <f t="shared" si="5"/>
        <v>-1.4967154395577138</v>
      </c>
      <c r="X67" s="152" t="str">
        <f t="shared" si="6"/>
        <v>Needs Attention</v>
      </c>
      <c r="Y67" s="245" t="s">
        <v>327</v>
      </c>
      <c r="Z67" s="233"/>
      <c r="AA67" s="185"/>
      <c r="AB67" s="168"/>
    </row>
    <row r="68" spans="1:28" s="14" customFormat="1" ht="34.950000000000003" customHeight="1" x14ac:dyDescent="0.3">
      <c r="A68" s="108">
        <v>72</v>
      </c>
      <c r="B68" s="86" t="s">
        <v>76</v>
      </c>
      <c r="C68" s="86"/>
      <c r="D68" s="29" t="s">
        <v>294</v>
      </c>
      <c r="E68" s="29" t="s">
        <v>295</v>
      </c>
      <c r="F68" s="29" t="s">
        <v>35</v>
      </c>
      <c r="G68" s="29"/>
      <c r="H68" s="29" t="s">
        <v>93</v>
      </c>
      <c r="I68" s="86"/>
      <c r="J68" s="29"/>
      <c r="K68" s="87"/>
      <c r="L68" s="87"/>
      <c r="M68" s="164"/>
      <c r="N68" s="164"/>
      <c r="O68" s="164"/>
      <c r="P68" s="164"/>
      <c r="Q68" s="164"/>
      <c r="R68" s="164"/>
      <c r="S68" s="164"/>
      <c r="T68" s="164"/>
      <c r="U68" s="164"/>
      <c r="V68" s="88" t="str">
        <f t="shared" si="4"/>
        <v/>
      </c>
      <c r="W68" s="89" t="str">
        <f t="shared" si="5"/>
        <v/>
      </c>
      <c r="X68" s="152" t="str">
        <f t="shared" si="6"/>
        <v>No Data</v>
      </c>
      <c r="Y68" s="248" t="s">
        <v>368</v>
      </c>
      <c r="Z68" s="233"/>
      <c r="AA68" s="185"/>
      <c r="AB68" s="168"/>
    </row>
    <row r="69" spans="1:28" s="14" customFormat="1" ht="34.950000000000003" customHeight="1" x14ac:dyDescent="0.3">
      <c r="A69" s="252">
        <v>38</v>
      </c>
      <c r="B69" s="85" t="s">
        <v>104</v>
      </c>
      <c r="C69" s="85">
        <v>4837</v>
      </c>
      <c r="D69" s="17" t="s">
        <v>182</v>
      </c>
      <c r="E69" s="17" t="s">
        <v>20</v>
      </c>
      <c r="F69" s="17" t="s">
        <v>183</v>
      </c>
      <c r="G69" s="17" t="s">
        <v>184</v>
      </c>
      <c r="H69" s="17" t="s">
        <v>80</v>
      </c>
      <c r="I69" s="85" t="s">
        <v>185</v>
      </c>
      <c r="J69" s="17" t="s">
        <v>186</v>
      </c>
      <c r="K69" s="93">
        <v>572</v>
      </c>
      <c r="L69" s="93">
        <v>800</v>
      </c>
      <c r="M69" s="61"/>
      <c r="N69" s="61"/>
      <c r="O69" s="61"/>
      <c r="P69" s="61"/>
      <c r="Q69" s="61"/>
      <c r="R69" s="61"/>
      <c r="S69" s="61"/>
      <c r="T69" s="61"/>
      <c r="U69" s="61"/>
      <c r="V69" s="62" t="str">
        <f t="shared" si="4"/>
        <v/>
      </c>
      <c r="W69" s="63" t="str">
        <f t="shared" si="5"/>
        <v/>
      </c>
      <c r="X69" s="149" t="str">
        <f t="shared" si="6"/>
        <v>No Data</v>
      </c>
      <c r="Y69" s="248" t="s">
        <v>338</v>
      </c>
      <c r="Z69" s="233"/>
      <c r="AA69" s="185"/>
      <c r="AB69" s="168"/>
    </row>
    <row r="70" spans="1:28" s="14" customFormat="1" ht="34.950000000000003" customHeight="1" x14ac:dyDescent="0.3">
      <c r="A70" s="253">
        <v>39</v>
      </c>
      <c r="B70" s="86" t="s">
        <v>104</v>
      </c>
      <c r="C70" s="86">
        <v>4837</v>
      </c>
      <c r="D70" s="29" t="s">
        <v>182</v>
      </c>
      <c r="E70" s="29" t="s">
        <v>20</v>
      </c>
      <c r="F70" s="29" t="s">
        <v>183</v>
      </c>
      <c r="G70" s="29" t="s">
        <v>187</v>
      </c>
      <c r="H70" s="29" t="s">
        <v>80</v>
      </c>
      <c r="I70" s="86" t="s">
        <v>185</v>
      </c>
      <c r="J70" s="29" t="s">
        <v>186</v>
      </c>
      <c r="K70" s="91">
        <v>520</v>
      </c>
      <c r="L70" s="91">
        <v>800</v>
      </c>
      <c r="M70" s="87"/>
      <c r="N70" s="87"/>
      <c r="O70" s="87"/>
      <c r="P70" s="87"/>
      <c r="Q70" s="87"/>
      <c r="R70" s="87">
        <v>528</v>
      </c>
      <c r="S70" s="87"/>
      <c r="T70" s="87"/>
      <c r="U70" s="87"/>
      <c r="V70" s="88">
        <f t="shared" si="4"/>
        <v>528</v>
      </c>
      <c r="W70" s="89">
        <f t="shared" ref="W70:W74" si="7">IFERROR(IF(V70="","",IF(H70="Increasing",(V70-K70)/(L70-K70),(K70-V70)/(K70-L70))),"")</f>
        <v>2.8571428571428571E-2</v>
      </c>
      <c r="X70" s="152" t="str">
        <f t="shared" ref="X70:X74" si="8">IF(W70="","No Data",IF(W70&gt;=1,"Achieved",IF(W70&gt;=0.5,"On Track","Needs Attention")))</f>
        <v>Needs Attention</v>
      </c>
      <c r="Y70" s="248" t="s">
        <v>338</v>
      </c>
      <c r="Z70" s="234">
        <v>46244</v>
      </c>
      <c r="AA70" s="186" t="s">
        <v>382</v>
      </c>
      <c r="AB70" s="168"/>
    </row>
    <row r="71" spans="1:28" s="14" customFormat="1" ht="34.950000000000003" customHeight="1" x14ac:dyDescent="0.3">
      <c r="A71" s="252">
        <v>29</v>
      </c>
      <c r="B71" s="86" t="s">
        <v>76</v>
      </c>
      <c r="C71" s="86"/>
      <c r="D71" s="29" t="s">
        <v>155</v>
      </c>
      <c r="E71" s="29" t="s">
        <v>20</v>
      </c>
      <c r="F71" s="29" t="s">
        <v>156</v>
      </c>
      <c r="G71" s="29" t="s">
        <v>988</v>
      </c>
      <c r="H71" s="29" t="s">
        <v>80</v>
      </c>
      <c r="I71" s="86" t="s">
        <v>158</v>
      </c>
      <c r="J71" s="29" t="s">
        <v>159</v>
      </c>
      <c r="K71" s="91">
        <v>1480</v>
      </c>
      <c r="L71" s="91">
        <v>1704</v>
      </c>
      <c r="M71" s="402">
        <v>1917.9870967741942</v>
      </c>
      <c r="N71" s="402">
        <v>1765.4917857142864</v>
      </c>
      <c r="O71" s="180">
        <v>1567.6714285714288</v>
      </c>
      <c r="P71" s="402">
        <v>1759.5920000000003</v>
      </c>
      <c r="Q71" s="402">
        <v>1889.7290322580648</v>
      </c>
      <c r="R71" s="402">
        <v>1832.4</v>
      </c>
      <c r="S71" s="402">
        <v>1842.929032258065</v>
      </c>
      <c r="T71" s="407">
        <v>1795</v>
      </c>
      <c r="U71" s="407">
        <v>1709</v>
      </c>
      <c r="V71" s="402">
        <f t="shared" si="4"/>
        <v>1796.5429107965772</v>
      </c>
      <c r="W71" s="89">
        <f t="shared" si="7"/>
        <v>1.4131379946275768</v>
      </c>
      <c r="X71" s="152" t="str">
        <f t="shared" si="8"/>
        <v>Achieved</v>
      </c>
      <c r="Y71" s="245" t="s">
        <v>332</v>
      </c>
      <c r="Z71" s="234">
        <v>46244</v>
      </c>
      <c r="AA71" s="186" t="s">
        <v>382</v>
      </c>
      <c r="AB71" s="168"/>
    </row>
    <row r="72" spans="1:28" s="14" customFormat="1" ht="34.950000000000003" customHeight="1" x14ac:dyDescent="0.3">
      <c r="A72" s="108">
        <v>68</v>
      </c>
      <c r="B72" s="85" t="s">
        <v>104</v>
      </c>
      <c r="C72" s="85">
        <v>48624</v>
      </c>
      <c r="D72" s="17" t="s">
        <v>283</v>
      </c>
      <c r="E72" s="17" t="s">
        <v>22</v>
      </c>
      <c r="F72" s="17" t="s">
        <v>218</v>
      </c>
      <c r="G72" s="211" t="s">
        <v>284</v>
      </c>
      <c r="H72" s="17" t="s">
        <v>93</v>
      </c>
      <c r="I72" s="85" t="s">
        <v>251</v>
      </c>
      <c r="J72" s="17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  <c r="V72" s="62" t="str">
        <f t="shared" si="4"/>
        <v/>
      </c>
      <c r="W72" s="63" t="str">
        <f t="shared" si="7"/>
        <v/>
      </c>
      <c r="X72" s="149" t="str">
        <f t="shared" si="8"/>
        <v>No Data</v>
      </c>
      <c r="Y72" s="248" t="s">
        <v>364</v>
      </c>
      <c r="Z72" s="234">
        <v>46244</v>
      </c>
      <c r="AA72" s="186" t="s">
        <v>382</v>
      </c>
      <c r="AB72" s="168"/>
    </row>
    <row r="73" spans="1:28" s="14" customFormat="1" ht="34.950000000000003" customHeight="1" thickBot="1" x14ac:dyDescent="0.35">
      <c r="A73" s="267">
        <v>61</v>
      </c>
      <c r="B73" s="124" t="s">
        <v>104</v>
      </c>
      <c r="C73" s="124">
        <v>50618</v>
      </c>
      <c r="D73" s="125" t="s">
        <v>267</v>
      </c>
      <c r="E73" s="125" t="s">
        <v>22</v>
      </c>
      <c r="F73" s="125" t="s">
        <v>31</v>
      </c>
      <c r="G73" s="276" t="s">
        <v>268</v>
      </c>
      <c r="H73" s="258" t="s">
        <v>93</v>
      </c>
      <c r="I73" s="282" t="s">
        <v>85</v>
      </c>
      <c r="J73" s="276" t="s">
        <v>129</v>
      </c>
      <c r="K73" s="124">
        <v>15.03</v>
      </c>
      <c r="L73" s="126">
        <v>10</v>
      </c>
      <c r="M73" s="405">
        <v>8.14</v>
      </c>
      <c r="N73" s="405">
        <v>6.3</v>
      </c>
      <c r="O73" s="405">
        <v>6.8</v>
      </c>
      <c r="P73" s="405">
        <v>5.5</v>
      </c>
      <c r="Q73" s="303">
        <v>11.18</v>
      </c>
      <c r="R73" s="405">
        <v>7.63</v>
      </c>
      <c r="S73" s="126"/>
      <c r="T73" s="126"/>
      <c r="U73" s="126"/>
      <c r="V73" s="406">
        <f t="shared" si="4"/>
        <v>7.5916666666666677</v>
      </c>
      <c r="W73" s="128">
        <f t="shared" si="7"/>
        <v>1.4787939032471835</v>
      </c>
      <c r="X73" s="315" t="str">
        <f t="shared" si="8"/>
        <v>Achieved</v>
      </c>
      <c r="Y73" s="249" t="s">
        <v>360</v>
      </c>
      <c r="Z73" s="234">
        <v>46244</v>
      </c>
      <c r="AA73" s="186" t="s">
        <v>382</v>
      </c>
      <c r="AB73" s="168"/>
    </row>
    <row r="74" spans="1:28" s="14" customFormat="1" ht="34.950000000000003" customHeight="1" x14ac:dyDescent="0.3">
      <c r="A74" s="254">
        <v>28</v>
      </c>
      <c r="B74" s="60" t="s">
        <v>104</v>
      </c>
      <c r="C74" s="60">
        <v>5152</v>
      </c>
      <c r="D74" s="59" t="s">
        <v>150</v>
      </c>
      <c r="E74" s="59" t="s">
        <v>20</v>
      </c>
      <c r="F74" s="59" t="s">
        <v>151</v>
      </c>
      <c r="G74" s="59" t="s">
        <v>377</v>
      </c>
      <c r="H74" s="59" t="s">
        <v>93</v>
      </c>
      <c r="I74" s="60" t="s">
        <v>153</v>
      </c>
      <c r="J74" s="59" t="s">
        <v>154</v>
      </c>
      <c r="K74" s="238">
        <v>52.988999999999997</v>
      </c>
      <c r="L74" s="238">
        <v>45</v>
      </c>
      <c r="M74" s="292">
        <v>49.72</v>
      </c>
      <c r="N74" s="296">
        <v>61.39</v>
      </c>
      <c r="O74" s="296">
        <v>56.93</v>
      </c>
      <c r="P74" s="292">
        <v>49.46</v>
      </c>
      <c r="Q74" s="296">
        <v>53.22</v>
      </c>
      <c r="R74" s="296">
        <v>57.65</v>
      </c>
      <c r="S74" s="292">
        <v>46</v>
      </c>
      <c r="T74" s="238"/>
      <c r="U74" s="238"/>
      <c r="V74" s="395">
        <f t="shared" si="4"/>
        <v>53.481428571428573</v>
      </c>
      <c r="W74" s="240">
        <f t="shared" si="7"/>
        <v>-6.163832412424284E-2</v>
      </c>
      <c r="X74" s="241" t="str">
        <f t="shared" si="8"/>
        <v>Needs Attention</v>
      </c>
      <c r="Y74" s="320" t="s">
        <v>331</v>
      </c>
      <c r="Z74" s="169"/>
      <c r="AA74" s="185"/>
      <c r="AB74" s="168"/>
    </row>
    <row r="75" spans="1:28" s="14" customFormat="1" ht="29.4" customHeight="1" x14ac:dyDescent="0.3">
      <c r="A75" s="265"/>
      <c r="B75" s="85" t="s">
        <v>104</v>
      </c>
      <c r="C75" s="85">
        <v>5152</v>
      </c>
      <c r="D75" s="17" t="s">
        <v>150</v>
      </c>
      <c r="E75" s="17" t="s">
        <v>20</v>
      </c>
      <c r="F75" s="17" t="s">
        <v>151</v>
      </c>
      <c r="G75" s="90" t="s">
        <v>730</v>
      </c>
      <c r="H75" s="17"/>
      <c r="I75" s="85"/>
      <c r="J75" s="17"/>
      <c r="K75" s="61"/>
      <c r="L75" s="61"/>
      <c r="M75" s="165"/>
      <c r="N75" s="165"/>
      <c r="O75" s="165"/>
      <c r="P75" s="165"/>
      <c r="Q75" s="165"/>
      <c r="R75" s="165"/>
      <c r="S75" s="165"/>
      <c r="T75" s="165"/>
      <c r="U75" s="165"/>
      <c r="V75" s="62"/>
      <c r="W75" s="63"/>
      <c r="X75" s="149"/>
      <c r="Y75" s="322"/>
      <c r="Z75" s="169"/>
      <c r="AA75" s="168"/>
    </row>
    <row r="76" spans="1:28" s="14" customFormat="1" ht="34.950000000000003" customHeight="1" x14ac:dyDescent="0.3">
      <c r="A76" s="256">
        <v>71</v>
      </c>
      <c r="B76" s="85" t="s">
        <v>104</v>
      </c>
      <c r="C76" s="85">
        <v>11039</v>
      </c>
      <c r="D76" s="17" t="s">
        <v>292</v>
      </c>
      <c r="E76" s="17" t="s">
        <v>24</v>
      </c>
      <c r="F76" s="17" t="s">
        <v>45</v>
      </c>
      <c r="G76" s="211" t="s">
        <v>293</v>
      </c>
      <c r="H76" s="17" t="s">
        <v>80</v>
      </c>
      <c r="I76" s="85" t="s">
        <v>251</v>
      </c>
      <c r="J76" s="17"/>
      <c r="K76" s="61"/>
      <c r="L76" s="61"/>
      <c r="M76" s="61"/>
      <c r="N76" s="61"/>
      <c r="O76" s="61"/>
      <c r="P76" s="61"/>
      <c r="Q76" s="61"/>
      <c r="R76" s="61"/>
      <c r="S76" s="61"/>
      <c r="T76" s="61"/>
      <c r="U76" s="61"/>
      <c r="V76" s="62" t="str">
        <f t="shared" ref="V76:V84" si="9">IFERROR(AVERAGE(M76:S76),"")</f>
        <v/>
      </c>
      <c r="W76" s="63" t="str">
        <f t="shared" ref="W76:W84" si="10">IFERROR(IF(V76="","",IF(H76="Increasing",(V76-K76)/(L76-K76),(K76-V76)/(K76-L76))),"")</f>
        <v/>
      </c>
      <c r="X76" s="149" t="str">
        <f t="shared" ref="X76:X84" si="11">IF(W76="","No Data",IF(W76&gt;=1,"Achieved",IF(W76&gt;=0.5,"On Track","Needs Attention")))</f>
        <v>No Data</v>
      </c>
      <c r="Y76" s="154" t="s">
        <v>367</v>
      </c>
      <c r="Z76" s="169"/>
      <c r="AA76" s="185"/>
      <c r="AB76" s="168"/>
    </row>
    <row r="77" spans="1:28" s="14" customFormat="1" ht="34.950000000000003" customHeight="1" x14ac:dyDescent="0.3">
      <c r="A77" s="255">
        <v>70</v>
      </c>
      <c r="B77" s="86" t="s">
        <v>104</v>
      </c>
      <c r="C77" s="86">
        <v>10860</v>
      </c>
      <c r="D77" s="29" t="s">
        <v>289</v>
      </c>
      <c r="E77" s="29" t="s">
        <v>24</v>
      </c>
      <c r="F77" s="29" t="s">
        <v>45</v>
      </c>
      <c r="G77" s="206" t="s">
        <v>290</v>
      </c>
      <c r="H77" s="29"/>
      <c r="I77" s="86" t="s">
        <v>291</v>
      </c>
      <c r="J77" s="29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8" t="str">
        <f t="shared" si="9"/>
        <v/>
      </c>
      <c r="W77" s="89" t="str">
        <f t="shared" si="10"/>
        <v/>
      </c>
      <c r="X77" s="152" t="str">
        <f t="shared" si="11"/>
        <v>No Data</v>
      </c>
      <c r="Y77" s="154" t="s">
        <v>366</v>
      </c>
      <c r="Z77" s="169"/>
      <c r="AA77" s="185"/>
      <c r="AB77" s="168"/>
    </row>
    <row r="78" spans="1:28" s="14" customFormat="1" ht="34.950000000000003" customHeight="1" x14ac:dyDescent="0.3">
      <c r="A78" s="256">
        <v>75</v>
      </c>
      <c r="B78" s="85" t="s">
        <v>104</v>
      </c>
      <c r="C78" s="85">
        <v>3927</v>
      </c>
      <c r="D78" s="17" t="s">
        <v>300</v>
      </c>
      <c r="E78" s="17" t="s">
        <v>20</v>
      </c>
      <c r="F78" s="17" t="s">
        <v>301</v>
      </c>
      <c r="G78" s="183" t="s">
        <v>302</v>
      </c>
      <c r="H78" s="17" t="s">
        <v>93</v>
      </c>
      <c r="I78" s="85"/>
      <c r="J78" s="17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2" t="str">
        <f t="shared" si="9"/>
        <v/>
      </c>
      <c r="W78" s="63" t="str">
        <f t="shared" si="10"/>
        <v/>
      </c>
      <c r="X78" s="149" t="str">
        <f t="shared" si="11"/>
        <v>No Data</v>
      </c>
      <c r="Y78" s="167" t="s">
        <v>371</v>
      </c>
      <c r="Z78" s="169"/>
      <c r="AA78" s="168"/>
    </row>
    <row r="79" spans="1:28" s="14" customFormat="1" ht="34.950000000000003" customHeight="1" x14ac:dyDescent="0.3">
      <c r="A79" s="265">
        <v>30</v>
      </c>
      <c r="B79" s="85" t="s">
        <v>76</v>
      </c>
      <c r="C79" s="85"/>
      <c r="D79" s="17" t="s">
        <v>160</v>
      </c>
      <c r="E79" s="17" t="s">
        <v>22</v>
      </c>
      <c r="F79" s="17" t="s">
        <v>161</v>
      </c>
      <c r="G79" s="90" t="s">
        <v>537</v>
      </c>
      <c r="H79" s="17" t="s">
        <v>80</v>
      </c>
      <c r="I79" s="85" t="s">
        <v>163</v>
      </c>
      <c r="J79" s="17" t="s">
        <v>164</v>
      </c>
      <c r="K79" s="61">
        <v>3.83</v>
      </c>
      <c r="L79" s="61">
        <v>4</v>
      </c>
      <c r="M79" s="175">
        <v>3.96</v>
      </c>
      <c r="N79" s="175">
        <v>3.96</v>
      </c>
      <c r="O79" s="174">
        <v>3.74</v>
      </c>
      <c r="P79" s="174">
        <v>3.76</v>
      </c>
      <c r="Q79" s="175">
        <v>3.83</v>
      </c>
      <c r="R79" s="174">
        <v>3.8</v>
      </c>
      <c r="S79" s="175">
        <v>3.83</v>
      </c>
      <c r="T79" s="165"/>
      <c r="U79" s="165"/>
      <c r="V79" s="177">
        <f t="shared" si="9"/>
        <v>3.8400000000000003</v>
      </c>
      <c r="W79" s="63">
        <f t="shared" si="10"/>
        <v>5.8823529411766086E-2</v>
      </c>
      <c r="X79" s="149" t="str">
        <f t="shared" si="11"/>
        <v>Needs Attention</v>
      </c>
      <c r="Y79" s="318" t="s">
        <v>333</v>
      </c>
      <c r="Z79" s="169"/>
      <c r="AA79" s="168"/>
    </row>
    <row r="80" spans="1:28" s="14" customFormat="1" ht="34.950000000000003" customHeight="1" x14ac:dyDescent="0.3">
      <c r="A80" s="256">
        <v>31</v>
      </c>
      <c r="B80" s="86" t="s">
        <v>76</v>
      </c>
      <c r="C80" s="86"/>
      <c r="D80" s="29" t="s">
        <v>160</v>
      </c>
      <c r="E80" s="29" t="s">
        <v>22</v>
      </c>
      <c r="F80" s="29" t="s">
        <v>161</v>
      </c>
      <c r="G80" s="90" t="s">
        <v>538</v>
      </c>
      <c r="H80" s="29" t="s">
        <v>80</v>
      </c>
      <c r="I80" s="86" t="s">
        <v>163</v>
      </c>
      <c r="J80" s="29" t="s">
        <v>164</v>
      </c>
      <c r="K80" s="87">
        <v>3.9</v>
      </c>
      <c r="L80" s="87">
        <v>4</v>
      </c>
      <c r="M80" s="173">
        <v>3.9</v>
      </c>
      <c r="N80" s="173">
        <v>3.97</v>
      </c>
      <c r="O80" s="172">
        <v>3.88</v>
      </c>
      <c r="P80" s="172">
        <v>3.84</v>
      </c>
      <c r="Q80" s="172">
        <v>3.88</v>
      </c>
      <c r="R80" s="172">
        <v>3.89</v>
      </c>
      <c r="S80" s="172">
        <v>3.39</v>
      </c>
      <c r="T80" s="164"/>
      <c r="U80" s="164"/>
      <c r="V80" s="388">
        <f t="shared" si="9"/>
        <v>3.8214285714285716</v>
      </c>
      <c r="W80" s="89">
        <f t="shared" si="10"/>
        <v>-0.78571428571428226</v>
      </c>
      <c r="X80" s="152" t="str">
        <f t="shared" si="11"/>
        <v>Needs Attention</v>
      </c>
      <c r="Y80" s="318" t="s">
        <v>333</v>
      </c>
      <c r="Z80" s="169"/>
      <c r="AA80" s="168"/>
    </row>
    <row r="81" spans="1:28" s="14" customFormat="1" ht="34.950000000000003" customHeight="1" x14ac:dyDescent="0.3">
      <c r="A81" s="255">
        <v>32</v>
      </c>
      <c r="B81" s="85" t="s">
        <v>76</v>
      </c>
      <c r="C81" s="85"/>
      <c r="D81" s="17" t="s">
        <v>160</v>
      </c>
      <c r="E81" s="17" t="s">
        <v>22</v>
      </c>
      <c r="F81" s="17" t="s">
        <v>161</v>
      </c>
      <c r="G81" s="90" t="s">
        <v>539</v>
      </c>
      <c r="H81" s="17" t="s">
        <v>80</v>
      </c>
      <c r="I81" s="85" t="s">
        <v>163</v>
      </c>
      <c r="J81" s="17" t="s">
        <v>164</v>
      </c>
      <c r="K81" s="61">
        <v>3.76</v>
      </c>
      <c r="L81" s="61">
        <v>4</v>
      </c>
      <c r="M81" s="174">
        <v>3.38</v>
      </c>
      <c r="N81" s="175">
        <v>3.86</v>
      </c>
      <c r="O81" s="174">
        <v>3.68</v>
      </c>
      <c r="P81" s="392">
        <v>2.95</v>
      </c>
      <c r="Q81" s="176">
        <v>4.09</v>
      </c>
      <c r="R81" s="175">
        <v>3.97</v>
      </c>
      <c r="S81" s="175">
        <v>3.84</v>
      </c>
      <c r="T81" s="165"/>
      <c r="U81" s="165"/>
      <c r="V81" s="393">
        <f t="shared" si="9"/>
        <v>3.6814285714285715</v>
      </c>
      <c r="W81" s="63">
        <f t="shared" si="10"/>
        <v>-0.32738095238095094</v>
      </c>
      <c r="X81" s="149" t="str">
        <f t="shared" si="11"/>
        <v>Needs Attention</v>
      </c>
      <c r="Y81" s="319" t="s">
        <v>333</v>
      </c>
      <c r="Z81" s="169"/>
      <c r="AA81" s="185"/>
      <c r="AB81" s="168"/>
    </row>
    <row r="82" spans="1:28" s="14" customFormat="1" ht="34.950000000000003" customHeight="1" x14ac:dyDescent="0.3">
      <c r="A82" s="256">
        <v>33</v>
      </c>
      <c r="B82" s="86" t="s">
        <v>76</v>
      </c>
      <c r="C82" s="86"/>
      <c r="D82" s="29" t="s">
        <v>160</v>
      </c>
      <c r="E82" s="29" t="s">
        <v>22</v>
      </c>
      <c r="F82" s="29" t="s">
        <v>161</v>
      </c>
      <c r="G82" s="90" t="s">
        <v>540</v>
      </c>
      <c r="H82" s="29" t="s">
        <v>80</v>
      </c>
      <c r="I82" s="86" t="s">
        <v>163</v>
      </c>
      <c r="J82" s="29" t="s">
        <v>164</v>
      </c>
      <c r="K82" s="87">
        <v>3.63</v>
      </c>
      <c r="L82" s="87">
        <v>4</v>
      </c>
      <c r="M82" s="173">
        <v>3.65</v>
      </c>
      <c r="N82" s="172">
        <v>3.53</v>
      </c>
      <c r="O82" s="173">
        <v>3.89</v>
      </c>
      <c r="P82" s="394">
        <v>2.8</v>
      </c>
      <c r="Q82" s="181">
        <v>4.04</v>
      </c>
      <c r="R82" s="181">
        <v>4.07</v>
      </c>
      <c r="S82" s="172">
        <v>3.58</v>
      </c>
      <c r="T82" s="164"/>
      <c r="U82" s="164"/>
      <c r="V82" s="178">
        <f t="shared" si="9"/>
        <v>3.6514285714285717</v>
      </c>
      <c r="W82" s="89">
        <f t="shared" si="10"/>
        <v>5.7915057915058896E-2</v>
      </c>
      <c r="X82" s="152" t="str">
        <f t="shared" si="11"/>
        <v>Needs Attention</v>
      </c>
      <c r="Y82" s="319" t="s">
        <v>333</v>
      </c>
      <c r="Z82" s="169"/>
      <c r="AA82" s="185"/>
      <c r="AB82" s="168"/>
    </row>
    <row r="83" spans="1:28" s="14" customFormat="1" ht="34.950000000000003" customHeight="1" x14ac:dyDescent="0.3">
      <c r="A83" s="265">
        <v>58</v>
      </c>
      <c r="B83" s="85" t="s">
        <v>104</v>
      </c>
      <c r="C83" s="85">
        <v>30103</v>
      </c>
      <c r="D83" s="17" t="s">
        <v>257</v>
      </c>
      <c r="E83" s="17" t="s">
        <v>25</v>
      </c>
      <c r="F83" s="17" t="s">
        <v>258</v>
      </c>
      <c r="G83" s="17" t="s">
        <v>709</v>
      </c>
      <c r="H83" s="17" t="s">
        <v>93</v>
      </c>
      <c r="I83" s="96" t="s">
        <v>260</v>
      </c>
      <c r="J83" s="90" t="s">
        <v>708</v>
      </c>
      <c r="K83" s="93">
        <v>1392</v>
      </c>
      <c r="L83" s="93">
        <v>1100</v>
      </c>
      <c r="M83" s="323">
        <v>1348.3</v>
      </c>
      <c r="N83" s="323">
        <v>1148.71</v>
      </c>
      <c r="O83" s="323">
        <v>1159.25</v>
      </c>
      <c r="P83" s="418">
        <v>1085.74</v>
      </c>
      <c r="Q83" s="418">
        <v>1072.2</v>
      </c>
      <c r="R83" s="418">
        <v>1067.8699999999999</v>
      </c>
      <c r="S83" s="418">
        <v>1100</v>
      </c>
      <c r="T83" s="418">
        <v>1044.5</v>
      </c>
      <c r="U83" s="418"/>
      <c r="V83" s="208">
        <f t="shared" si="9"/>
        <v>1140.2957142857142</v>
      </c>
      <c r="W83" s="63">
        <f t="shared" si="10"/>
        <v>0.86200097847358148</v>
      </c>
      <c r="X83" s="149" t="str">
        <f t="shared" si="11"/>
        <v>On Track</v>
      </c>
      <c r="Y83" s="319" t="s">
        <v>357</v>
      </c>
      <c r="Z83" s="169"/>
      <c r="AA83" s="185"/>
      <c r="AB83" s="168"/>
    </row>
    <row r="84" spans="1:28" s="14" customFormat="1" ht="34.950000000000003" customHeight="1" x14ac:dyDescent="0.3">
      <c r="A84" s="256">
        <v>42</v>
      </c>
      <c r="B84" s="257" t="s">
        <v>104</v>
      </c>
      <c r="C84" s="257">
        <v>3413</v>
      </c>
      <c r="D84" s="259" t="s">
        <v>196</v>
      </c>
      <c r="E84" s="259" t="s">
        <v>20</v>
      </c>
      <c r="F84" s="259" t="s">
        <v>197</v>
      </c>
      <c r="G84" s="259" t="s">
        <v>198</v>
      </c>
      <c r="H84" s="259" t="s">
        <v>93</v>
      </c>
      <c r="I84" s="257" t="s">
        <v>199</v>
      </c>
      <c r="J84" s="259" t="s">
        <v>129</v>
      </c>
      <c r="K84" s="289">
        <v>6951</v>
      </c>
      <c r="L84" s="289">
        <v>6700</v>
      </c>
      <c r="M84" s="407">
        <v>6845</v>
      </c>
      <c r="N84" s="407">
        <v>6963</v>
      </c>
      <c r="O84" s="407">
        <v>6703</v>
      </c>
      <c r="P84" s="407">
        <v>6664</v>
      </c>
      <c r="Q84" s="407">
        <v>6647</v>
      </c>
      <c r="R84" s="407">
        <v>6635</v>
      </c>
      <c r="S84" s="289"/>
      <c r="T84" s="289"/>
      <c r="U84" s="289"/>
      <c r="V84" s="311">
        <f t="shared" si="9"/>
        <v>6742.833333333333</v>
      </c>
      <c r="W84" s="262">
        <f t="shared" si="10"/>
        <v>0.82934926958831467</v>
      </c>
      <c r="X84" s="263" t="str">
        <f t="shared" si="11"/>
        <v>On Track</v>
      </c>
      <c r="Y84" s="319" t="s">
        <v>341</v>
      </c>
      <c r="Z84" s="169"/>
      <c r="AA84" s="185"/>
      <c r="AB84" s="168"/>
    </row>
    <row r="86" spans="1:28" ht="27" customHeight="1" x14ac:dyDescent="0.3">
      <c r="A86" s="99" t="s">
        <v>311</v>
      </c>
      <c r="B86" s="100" t="s">
        <v>15</v>
      </c>
      <c r="C86" s="101" t="s">
        <v>18</v>
      </c>
      <c r="D86" s="102" t="s">
        <v>21</v>
      </c>
    </row>
    <row r="87" spans="1:28" ht="34.200000000000003" hidden="1" customHeight="1" x14ac:dyDescent="0.3">
      <c r="A87" s="333" t="s">
        <v>312</v>
      </c>
      <c r="B87" s="333"/>
      <c r="C87" s="333"/>
      <c r="D87" s="333"/>
      <c r="E87" s="333"/>
      <c r="F87" s="333"/>
      <c r="G87" s="333"/>
      <c r="H87" s="333"/>
      <c r="I87" s="333"/>
      <c r="J87" s="333"/>
      <c r="K87" s="333"/>
      <c r="L87" s="333"/>
      <c r="M87" s="333"/>
      <c r="N87" s="333"/>
      <c r="O87" s="333"/>
      <c r="P87" s="333"/>
      <c r="Q87" s="333"/>
      <c r="R87" s="333"/>
      <c r="S87" s="333"/>
      <c r="T87" s="333"/>
      <c r="U87" s="333"/>
      <c r="V87" s="333"/>
      <c r="W87" s="333"/>
      <c r="X87" s="333"/>
      <c r="Z87"/>
      <c r="AA87"/>
      <c r="AB87"/>
    </row>
    <row r="91" spans="1:28" x14ac:dyDescent="0.3">
      <c r="S91" s="157"/>
      <c r="T91" s="157"/>
      <c r="U91" s="157"/>
    </row>
  </sheetData>
  <autoFilter ref="A5:Y84" xr:uid="{00000000-0001-0000-0100-000000000000}"/>
  <mergeCells count="8">
    <mergeCell ref="A1:Y1"/>
    <mergeCell ref="A2:Y2"/>
    <mergeCell ref="V4:Y4"/>
    <mergeCell ref="A87:X87"/>
    <mergeCell ref="A4:G4"/>
    <mergeCell ref="H4:J4"/>
    <mergeCell ref="K4:L4"/>
    <mergeCell ref="M4:S4"/>
  </mergeCells>
  <phoneticPr fontId="38" type="noConversion"/>
  <conditionalFormatting sqref="M74:U82 T70:U70 S84:U84 T72:U73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6:W84">
    <cfRule type="dataBar" priority="5">
      <dataBar>
        <cfvo type="num" val="0"/>
        <cfvo type="num" val="1"/>
        <color rgb="FF4472C4"/>
      </dataBar>
      <extLst>
        <ext xmlns:x14="http://schemas.microsoft.com/office/spreadsheetml/2009/9/main" uri="{B025F937-C7B1-47D3-B67F-A62EFF666E3E}">
          <x14:id>{77EBBC57-1979-4730-95C4-F96E5CF7BF64}</x14:id>
        </ext>
      </extLst>
    </cfRule>
  </conditionalFormatting>
  <conditionalFormatting sqref="X6:X84">
    <cfRule type="cellIs" dxfId="5" priority="2" operator="equal">
      <formula>"Achieved"</formula>
    </cfRule>
    <cfRule type="cellIs" dxfId="4" priority="3" operator="equal">
      <formula>"On Track"</formula>
    </cfRule>
    <cfRule type="cellIs" dxfId="3" priority="4" operator="equal">
      <formula>"Needs Attention"</formula>
    </cfRule>
  </conditionalFormatting>
  <hyperlinks>
    <hyperlink ref="Y62" r:id="rId1" xr:uid="{757C2BD1-B7CC-4968-A271-6720ADEAF468}"/>
    <hyperlink ref="Y34" r:id="rId2" xr:uid="{84D148E4-B438-477D-9D7E-3AC8E0AEFD2C}"/>
    <hyperlink ref="Y54" r:id="rId3" xr:uid="{BA39CD06-E9CA-4A12-985C-F228DC0A99E6}"/>
    <hyperlink ref="Y63" r:id="rId4" xr:uid="{FC1018A2-0974-4120-A40D-7233E4F6B447}"/>
    <hyperlink ref="Y64" r:id="rId5" xr:uid="{1D0FC0C4-CB90-4877-A04F-E327032B961A}"/>
    <hyperlink ref="Y24" r:id="rId6" xr:uid="{EFD7E66D-42FC-482B-94ED-5F454B8DACC5}"/>
    <hyperlink ref="Y36" r:id="rId7" xr:uid="{9A864396-B5B1-455A-8E45-42C2BBD81904}"/>
    <hyperlink ref="Y28" r:id="rId8" xr:uid="{FA9B52ED-5E2A-4157-920D-6461A0F73382}"/>
    <hyperlink ref="Y29" r:id="rId9" xr:uid="{0C9C1778-0B95-4F06-95C9-607E25D8BEDD}"/>
    <hyperlink ref="Y45" r:id="rId10" xr:uid="{3CD88B7B-81EC-46A7-A3A6-E8590598B244}"/>
    <hyperlink ref="Y46" r:id="rId11" xr:uid="{A6A2A333-F8E9-492F-9BC1-0A8AE197920B}"/>
    <hyperlink ref="Y56" r:id="rId12" xr:uid="{2FFF2B58-5D54-4467-A1F1-B04FCC846318}"/>
    <hyperlink ref="Y57" r:id="rId13" xr:uid="{AEF5C78E-5DF4-41DC-97F5-35292FFF5D72}"/>
    <hyperlink ref="Y58" r:id="rId14" xr:uid="{43F51FE1-A15F-45B2-87F5-3A81E525B542}"/>
    <hyperlink ref="Y65" r:id="rId15" xr:uid="{216B0D1A-808F-4B42-9421-F881AF02439A}"/>
    <hyperlink ref="Y66" r:id="rId16" xr:uid="{C3E6551F-BDC9-40B3-963C-1906A1886F3F}"/>
    <hyperlink ref="Y67" r:id="rId17" xr:uid="{DE096F53-8B07-4092-A199-32911CA0B9DC}"/>
    <hyperlink ref="Y53" r:id="rId18" xr:uid="{2F5D1F60-2EE8-4DFE-BC08-1C380658CF68}"/>
    <hyperlink ref="Y59" r:id="rId19" xr:uid="{1369241F-FA7A-453E-B489-2BB18D609F44}"/>
    <hyperlink ref="Y60" r:id="rId20" xr:uid="{5C939880-4020-455B-B814-8162FC4289E4}"/>
    <hyperlink ref="Y61" r:id="rId21" xr:uid="{61FB8EFE-C726-4A4B-8E25-F74E6005394F}"/>
    <hyperlink ref="Y49" r:id="rId22" xr:uid="{D84CD773-B8A0-4B7C-B285-E7C7372A496E}"/>
    <hyperlink ref="Y50" r:id="rId23" xr:uid="{DB0841C8-09A5-4382-95C1-8C7390BF0DD3}"/>
    <hyperlink ref="Y51" r:id="rId24" xr:uid="{061DEC2D-837E-4668-87CF-771DB5CCCDE3}"/>
    <hyperlink ref="Y52" r:id="rId25" xr:uid="{C7B36DDC-D6E2-40F0-9765-7497C1773228}"/>
    <hyperlink ref="Y74" r:id="rId26" xr:uid="{5731F611-0730-4111-AA59-9C96482D2E56}"/>
    <hyperlink ref="Y71" r:id="rId27" xr:uid="{28B96BD3-8194-4F4A-8966-0077C95205E8}"/>
    <hyperlink ref="Y79" r:id="rId28" xr:uid="{6BDF3719-82B7-4750-B3F0-8FD3F47738EF}"/>
    <hyperlink ref="Y80" r:id="rId29" xr:uid="{4FACBE96-CFB5-42BA-BECB-DDA8162E97AE}"/>
    <hyperlink ref="Y81" r:id="rId30" xr:uid="{B1D95FF0-C20E-4043-B670-D9E022EAA053}"/>
    <hyperlink ref="Y82" r:id="rId31" xr:uid="{955CC24B-F9F3-479B-A111-15F982C18ACD}"/>
    <hyperlink ref="Y33" r:id="rId32" xr:uid="{AFA936EB-B5BD-474A-A98E-5DCE78E38C25}"/>
    <hyperlink ref="Y41" r:id="rId33" xr:uid="{F2219803-A9D9-4219-BAD0-7948F59BB66E}"/>
    <hyperlink ref="Y14" r:id="rId34" xr:uid="{F2FE8C81-0D36-48FF-B25E-FE2012388235}"/>
    <hyperlink ref="Y15" r:id="rId35" xr:uid="{68A4AB7D-D5D5-4844-A02D-D1BBF966AFCF}"/>
    <hyperlink ref="Y27" r:id="rId36" xr:uid="{3F786F9F-46B1-4411-9FF8-315BC27F45DF}"/>
    <hyperlink ref="Y84" r:id="rId37" xr:uid="{FE3045E9-4B4E-4AB2-9EC9-156E100165A5}"/>
    <hyperlink ref="Y25" r:id="rId38" xr:uid="{8D676661-7E64-42EC-8047-CCDABA859477}"/>
    <hyperlink ref="Y38" r:id="rId39" xr:uid="{AC3E4096-3585-4A19-9EB9-C1CB88C94AFE}"/>
    <hyperlink ref="Y40" r:id="rId40" xr:uid="{7B4DAFA4-84E0-41A1-8726-F0C3E1943521}"/>
    <hyperlink ref="Y83" r:id="rId41" xr:uid="{6CF21999-CBAF-46D0-93CE-B8D218280E7C}"/>
    <hyperlink ref="Y13" r:id="rId42" xr:uid="{7C49C0A2-16F9-4CA4-8B7F-16F9C46606A8}"/>
    <hyperlink ref="Y21" r:id="rId43" xr:uid="{C3CD5111-6975-4796-930E-C678643B10DA}"/>
    <hyperlink ref="Y37" r:id="rId44" xr:uid="{E2FEF60B-D0AD-497F-8C98-157DC64FA451}"/>
    <hyperlink ref="Y23" r:id="rId45" xr:uid="{821A7B0D-58F6-4788-A1EB-9E6EA4ABF49F}"/>
    <hyperlink ref="Y26" r:id="rId46" xr:uid="{149F531B-0643-4B6A-9A3C-ADD890B8CC0B}"/>
    <hyperlink ref="Y39" r:id="rId47" xr:uid="{CF03EEA0-7941-4A29-BF2D-1D4308DEB14E}"/>
    <hyperlink ref="Y43" r:id="rId48" xr:uid="{02858734-CE0D-4D5A-985D-3ACD60AB8512}"/>
    <hyperlink ref="Y22" r:id="rId49" xr:uid="{776BEA54-83AF-4E34-946C-A73D6D27022D}"/>
    <hyperlink ref="Y7" r:id="rId50" xr:uid="{6E219809-F31D-4FCA-8692-1BBCD314DB49}"/>
  </hyperlinks>
  <pageMargins left="0.19685039370078741" right="0.19685039370078741" top="0.19685039370078741" bottom="0.19685039370078741" header="0.51181102362204722" footer="0.51181102362204722"/>
  <pageSetup paperSize="8" scale="59" fitToHeight="3" orientation="landscape" horizontalDpi="300" verticalDpi="300" r:id="rId51"/>
  <legacyDrawing r:id="rId5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7EBBC57-1979-4730-95C4-F96E5CF7BF64}">
            <x14:dataBar axisPosition="none">
              <x14:cfvo type="num">
                <xm:f>0</xm:f>
              </x14:cfvo>
              <x14:cfvo type="num">
                <xm:f>1</xm:f>
              </x14:cfvo>
              <x14:negativeFillColor rgb="FF4472C4"/>
            </x14:dataBar>
          </x14:cfRule>
          <xm:sqref>W6:W84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F87DE-275A-4A9F-A536-580BAE0FAA99}">
  <dimension ref="A1:C16"/>
  <sheetViews>
    <sheetView workbookViewId="0">
      <selection activeCell="B23" sqref="B23"/>
    </sheetView>
  </sheetViews>
  <sheetFormatPr defaultRowHeight="14.4" x14ac:dyDescent="0.3"/>
  <cols>
    <col min="2" max="2" width="16.44140625" bestFit="1" customWidth="1"/>
    <col min="3" max="3" width="12.6640625" bestFit="1" customWidth="1"/>
  </cols>
  <sheetData>
    <row r="1" spans="1:3" ht="21.6" customHeight="1" x14ac:dyDescent="0.3"/>
    <row r="7" spans="1:3" x14ac:dyDescent="0.3">
      <c r="A7" t="s">
        <v>390</v>
      </c>
      <c r="B7" t="s">
        <v>389</v>
      </c>
    </row>
    <row r="8" spans="1:3" x14ac:dyDescent="0.3">
      <c r="A8" t="s">
        <v>392</v>
      </c>
      <c r="B8" t="s">
        <v>391</v>
      </c>
    </row>
    <row r="9" spans="1:3" x14ac:dyDescent="0.3">
      <c r="A9" t="s">
        <v>393</v>
      </c>
      <c r="B9" t="s">
        <v>394</v>
      </c>
    </row>
    <row r="10" spans="1:3" x14ac:dyDescent="0.3">
      <c r="A10" t="s">
        <v>396</v>
      </c>
      <c r="B10" t="s">
        <v>395</v>
      </c>
    </row>
    <row r="11" spans="1:3" x14ac:dyDescent="0.3">
      <c r="B11" t="s">
        <v>398</v>
      </c>
      <c r="C11" t="s">
        <v>397</v>
      </c>
    </row>
    <row r="12" spans="1:3" x14ac:dyDescent="0.3">
      <c r="B12" t="s">
        <v>399</v>
      </c>
      <c r="C12">
        <v>5.5</v>
      </c>
    </row>
    <row r="13" spans="1:3" x14ac:dyDescent="0.3">
      <c r="A13" t="s">
        <v>400</v>
      </c>
      <c r="B13" t="s">
        <v>401</v>
      </c>
    </row>
    <row r="14" spans="1:3" x14ac:dyDescent="0.3">
      <c r="A14" t="s">
        <v>402</v>
      </c>
      <c r="B14" t="s">
        <v>394</v>
      </c>
    </row>
    <row r="15" spans="1:3" x14ac:dyDescent="0.3">
      <c r="B15" t="s">
        <v>403</v>
      </c>
    </row>
    <row r="16" spans="1:3" x14ac:dyDescent="0.3">
      <c r="B16" t="s">
        <v>404</v>
      </c>
    </row>
  </sheetData>
  <phoneticPr fontId="3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27EB7-0CCA-4578-8ECB-E47702C43090}">
  <dimension ref="A2:B8"/>
  <sheetViews>
    <sheetView zoomScale="160" zoomScaleNormal="160" workbookViewId="0">
      <selection activeCell="B8" sqref="B8"/>
    </sheetView>
  </sheetViews>
  <sheetFormatPr defaultRowHeight="14.4" x14ac:dyDescent="0.3"/>
  <cols>
    <col min="2" max="2" width="28" bestFit="1" customWidth="1"/>
  </cols>
  <sheetData>
    <row r="2" spans="1:2" x14ac:dyDescent="0.3">
      <c r="A2" t="s">
        <v>452</v>
      </c>
      <c r="B2" t="s">
        <v>721</v>
      </c>
    </row>
    <row r="3" spans="1:2" x14ac:dyDescent="0.3">
      <c r="A3" t="s">
        <v>722</v>
      </c>
      <c r="B3" t="s">
        <v>723</v>
      </c>
    </row>
    <row r="4" spans="1:2" x14ac:dyDescent="0.3">
      <c r="A4" t="s">
        <v>527</v>
      </c>
      <c r="B4" t="s">
        <v>725</v>
      </c>
    </row>
    <row r="5" spans="1:2" x14ac:dyDescent="0.3">
      <c r="A5" t="s">
        <v>529</v>
      </c>
      <c r="B5" t="s">
        <v>724</v>
      </c>
    </row>
    <row r="6" spans="1:2" x14ac:dyDescent="0.3">
      <c r="A6" t="s">
        <v>530</v>
      </c>
      <c r="B6" t="s">
        <v>726</v>
      </c>
    </row>
    <row r="7" spans="1:2" x14ac:dyDescent="0.3">
      <c r="A7" t="s">
        <v>532</v>
      </c>
      <c r="B7" t="s">
        <v>727</v>
      </c>
    </row>
    <row r="8" spans="1:2" x14ac:dyDescent="0.3">
      <c r="A8" t="s">
        <v>533</v>
      </c>
      <c r="B8" t="s">
        <v>728</v>
      </c>
    </row>
  </sheetData>
  <phoneticPr fontId="3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1EB09-E37C-4890-B116-8BD76A74B5C2}">
  <dimension ref="A1:Y4"/>
  <sheetViews>
    <sheetView zoomScale="140" zoomScaleNormal="140" workbookViewId="0">
      <selection activeCell="B3" sqref="B3"/>
    </sheetView>
  </sheetViews>
  <sheetFormatPr defaultRowHeight="14.4" x14ac:dyDescent="0.3"/>
  <cols>
    <col min="2" max="3" width="8.88671875" style="187"/>
    <col min="4" max="4" width="11.5546875" style="187" customWidth="1"/>
    <col min="5" max="5" width="15.88671875" style="187" customWidth="1"/>
    <col min="6" max="6" width="16.44140625" style="187" customWidth="1"/>
    <col min="7" max="25" width="8.88671875" style="187"/>
  </cols>
  <sheetData>
    <row r="1" spans="1:25" ht="12" customHeight="1" x14ac:dyDescent="0.3"/>
    <row r="2" spans="1:25" ht="13.2" customHeight="1" x14ac:dyDescent="0.3"/>
    <row r="3" spans="1:25" ht="25.95" customHeight="1" x14ac:dyDescent="0.3">
      <c r="A3" s="169" t="s">
        <v>422</v>
      </c>
      <c r="B3" s="169" t="s">
        <v>409</v>
      </c>
      <c r="C3" s="169" t="s">
        <v>418</v>
      </c>
      <c r="D3" s="169" t="s">
        <v>420</v>
      </c>
      <c r="E3" s="169" t="s">
        <v>405</v>
      </c>
      <c r="F3" s="169" t="s">
        <v>408</v>
      </c>
      <c r="G3" s="169" t="s">
        <v>411</v>
      </c>
      <c r="H3" s="169" t="s">
        <v>414</v>
      </c>
      <c r="I3" s="169" t="s">
        <v>416</v>
      </c>
    </row>
    <row r="4" spans="1:25" s="155" customFormat="1" ht="39" customHeight="1" x14ac:dyDescent="0.3">
      <c r="A4" s="194" t="s">
        <v>421</v>
      </c>
      <c r="B4" s="194" t="s">
        <v>407</v>
      </c>
      <c r="C4" s="194" t="s">
        <v>417</v>
      </c>
      <c r="D4" s="194" t="s">
        <v>419</v>
      </c>
      <c r="E4" s="194" t="s">
        <v>406</v>
      </c>
      <c r="F4" s="194" t="s">
        <v>410</v>
      </c>
      <c r="G4" s="194" t="s">
        <v>412</v>
      </c>
      <c r="H4" s="194" t="s">
        <v>413</v>
      </c>
      <c r="I4" s="194" t="s">
        <v>415</v>
      </c>
      <c r="J4" s="188"/>
      <c r="K4" s="188"/>
      <c r="L4" s="188"/>
      <c r="M4" s="188"/>
      <c r="N4" s="188"/>
      <c r="O4" s="188"/>
      <c r="P4" s="188"/>
      <c r="Q4" s="188"/>
      <c r="R4" s="188"/>
      <c r="S4" s="188"/>
      <c r="T4" s="188"/>
      <c r="U4" s="188"/>
      <c r="V4" s="188"/>
      <c r="W4" s="188"/>
      <c r="X4" s="188"/>
      <c r="Y4" s="188"/>
    </row>
  </sheetData>
  <phoneticPr fontId="38" type="noConversion"/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AB673-5C69-4112-BACB-95B64F986085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64486-0FE0-41CA-B9B0-DE18A75A0922}">
  <dimension ref="A1:AH13"/>
  <sheetViews>
    <sheetView zoomScale="140" zoomScaleNormal="140" workbookViewId="0">
      <selection activeCell="K2" sqref="K2"/>
    </sheetView>
  </sheetViews>
  <sheetFormatPr defaultRowHeight="14.4" x14ac:dyDescent="0.3"/>
  <cols>
    <col min="2" max="10" width="8.88671875" style="187"/>
    <col min="11" max="13" width="11.5546875" style="187" customWidth="1"/>
    <col min="14" max="14" width="10.6640625" style="187" customWidth="1"/>
    <col min="15" max="15" width="16.44140625" style="187" customWidth="1"/>
    <col min="16" max="34" width="8.88671875" style="187"/>
  </cols>
  <sheetData>
    <row r="1" spans="1:34" ht="13.2" customHeight="1" x14ac:dyDescent="0.3"/>
    <row r="2" spans="1:34" ht="25.95" customHeight="1" x14ac:dyDescent="0.3">
      <c r="A2" s="195" t="s">
        <v>409</v>
      </c>
      <c r="B2" s="195" t="s">
        <v>422</v>
      </c>
      <c r="C2" s="195" t="s">
        <v>427</v>
      </c>
      <c r="D2" s="195" t="s">
        <v>418</v>
      </c>
      <c r="E2" s="195" t="s">
        <v>439</v>
      </c>
      <c r="F2" s="195" t="s">
        <v>438</v>
      </c>
      <c r="G2" s="195" t="s">
        <v>425</v>
      </c>
      <c r="H2" s="195" t="s">
        <v>433</v>
      </c>
      <c r="I2" s="195" t="s">
        <v>436</v>
      </c>
      <c r="J2" s="195" t="s">
        <v>437</v>
      </c>
      <c r="K2" s="195" t="s">
        <v>420</v>
      </c>
      <c r="L2" s="195" t="s">
        <v>431</v>
      </c>
      <c r="M2" s="195" t="s">
        <v>428</v>
      </c>
      <c r="N2" s="195" t="s">
        <v>405</v>
      </c>
      <c r="O2" s="195" t="s">
        <v>408</v>
      </c>
      <c r="P2" s="195" t="s">
        <v>411</v>
      </c>
      <c r="Q2" s="195" t="s">
        <v>414</v>
      </c>
      <c r="R2" s="195" t="s">
        <v>416</v>
      </c>
    </row>
    <row r="3" spans="1:34" s="155" customFormat="1" ht="39" customHeight="1" x14ac:dyDescent="0.3">
      <c r="A3" s="194" t="s">
        <v>421</v>
      </c>
      <c r="B3" s="194" t="s">
        <v>407</v>
      </c>
      <c r="C3" s="194" t="s">
        <v>426</v>
      </c>
      <c r="D3" s="194" t="s">
        <v>417</v>
      </c>
      <c r="E3" s="375" t="s">
        <v>424</v>
      </c>
      <c r="F3" s="376"/>
      <c r="G3" s="194" t="s">
        <v>423</v>
      </c>
      <c r="H3" s="194" t="s">
        <v>432</v>
      </c>
      <c r="I3" s="194" t="s">
        <v>434</v>
      </c>
      <c r="J3" s="194" t="s">
        <v>435</v>
      </c>
      <c r="K3" s="194" t="s">
        <v>445</v>
      </c>
      <c r="L3" s="194" t="s">
        <v>430</v>
      </c>
      <c r="M3" s="194" t="s">
        <v>429</v>
      </c>
      <c r="N3" s="194" t="s">
        <v>406</v>
      </c>
      <c r="O3" s="194" t="s">
        <v>410</v>
      </c>
      <c r="P3" s="194" t="s">
        <v>412</v>
      </c>
      <c r="Q3" s="194" t="s">
        <v>413</v>
      </c>
      <c r="R3" s="194" t="s">
        <v>415</v>
      </c>
      <c r="S3" s="188"/>
      <c r="T3" s="188"/>
      <c r="U3" s="188"/>
      <c r="V3" s="188"/>
      <c r="W3" s="188"/>
      <c r="X3" s="188"/>
      <c r="Y3" s="188"/>
      <c r="Z3" s="188"/>
      <c r="AA3" s="188"/>
      <c r="AB3" s="188"/>
      <c r="AC3" s="188"/>
      <c r="AD3" s="188"/>
      <c r="AE3" s="188"/>
      <c r="AF3" s="188"/>
      <c r="AG3" s="188"/>
      <c r="AH3" s="188"/>
    </row>
    <row r="4" spans="1:34" x14ac:dyDescent="0.3">
      <c r="E4" s="187" t="s">
        <v>440</v>
      </c>
      <c r="F4" s="187" t="s">
        <v>441</v>
      </c>
    </row>
    <row r="5" spans="1:34" x14ac:dyDescent="0.3">
      <c r="A5" s="189">
        <v>46235</v>
      </c>
      <c r="B5" s="187">
        <v>2</v>
      </c>
      <c r="R5" s="191"/>
    </row>
    <row r="6" spans="1:34" x14ac:dyDescent="0.3">
      <c r="C6" s="187" t="s">
        <v>442</v>
      </c>
      <c r="D6" s="187" t="s">
        <v>443</v>
      </c>
      <c r="E6" s="187">
        <v>120</v>
      </c>
      <c r="F6" s="187">
        <v>100</v>
      </c>
      <c r="K6" s="187">
        <v>125</v>
      </c>
      <c r="N6" s="190">
        <f>(E6-F6)/E6</f>
        <v>0.16666666666666666</v>
      </c>
    </row>
    <row r="7" spans="1:34" x14ac:dyDescent="0.3">
      <c r="G7" s="187" t="s">
        <v>444</v>
      </c>
      <c r="M7" s="187">
        <v>0</v>
      </c>
    </row>
    <row r="8" spans="1:34" x14ac:dyDescent="0.3">
      <c r="M8" s="187">
        <v>0</v>
      </c>
    </row>
    <row r="9" spans="1:34" x14ac:dyDescent="0.3">
      <c r="M9" s="187">
        <v>1</v>
      </c>
    </row>
    <row r="10" spans="1:34" x14ac:dyDescent="0.3">
      <c r="M10" s="187">
        <v>0</v>
      </c>
    </row>
    <row r="11" spans="1:34" x14ac:dyDescent="0.3">
      <c r="M11" s="187">
        <v>0</v>
      </c>
    </row>
    <row r="12" spans="1:34" x14ac:dyDescent="0.3">
      <c r="M12" s="187">
        <v>0</v>
      </c>
    </row>
    <row r="13" spans="1:34" x14ac:dyDescent="0.3">
      <c r="A13" s="189">
        <v>46235</v>
      </c>
      <c r="B13" s="187">
        <v>2</v>
      </c>
      <c r="C13" s="187" t="s">
        <v>390</v>
      </c>
      <c r="D13" s="187" t="s">
        <v>443</v>
      </c>
    </row>
  </sheetData>
  <mergeCells count="1">
    <mergeCell ref="E3:F3"/>
  </mergeCell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D55CF-5765-4442-BDF4-9D4AAEA390FA}">
  <dimension ref="A1:W38"/>
  <sheetViews>
    <sheetView topLeftCell="A16" zoomScale="120" zoomScaleNormal="120" workbookViewId="0">
      <selection activeCell="I4" sqref="I4"/>
    </sheetView>
  </sheetViews>
  <sheetFormatPr defaultRowHeight="14.4" x14ac:dyDescent="0.3"/>
  <cols>
    <col min="1" max="1" width="13.88671875" customWidth="1"/>
    <col min="2" max="2" width="11.6640625" style="141" bestFit="1" customWidth="1"/>
    <col min="4" max="4" width="11" style="141" bestFit="1" customWidth="1"/>
    <col min="5" max="5" width="21" style="141" customWidth="1"/>
    <col min="6" max="6" width="8.88671875" style="141"/>
    <col min="7" max="7" width="17.6640625" style="141" customWidth="1"/>
    <col min="8" max="8" width="11" style="141" customWidth="1"/>
    <col min="9" max="9" width="14" customWidth="1"/>
    <col min="10" max="17" width="7.6640625" style="141" customWidth="1"/>
    <col min="18" max="18" width="16.33203125" bestFit="1" customWidth="1"/>
    <col min="19" max="21" width="9" customWidth="1"/>
    <col min="22" max="22" width="12.5546875" bestFit="1" customWidth="1"/>
    <col min="23" max="23" width="8.88671875" style="141"/>
  </cols>
  <sheetData>
    <row r="1" spans="1:23" s="192" customFormat="1" ht="26.4" customHeight="1" x14ac:dyDescent="0.3">
      <c r="A1" s="192" t="s">
        <v>512</v>
      </c>
      <c r="B1" s="192" t="s">
        <v>524</v>
      </c>
    </row>
    <row r="2" spans="1:23" s="192" customFormat="1" ht="26.4" customHeight="1" x14ac:dyDescent="0.3">
      <c r="A2" s="192" t="s">
        <v>513</v>
      </c>
      <c r="B2" s="192" t="s">
        <v>523</v>
      </c>
    </row>
    <row r="3" spans="1:23" s="187" customFormat="1" ht="26.4" customHeight="1" x14ac:dyDescent="0.3">
      <c r="A3" s="187" t="s">
        <v>518</v>
      </c>
      <c r="B3" s="187" t="s">
        <v>452</v>
      </c>
      <c r="C3" s="187" t="s">
        <v>525</v>
      </c>
      <c r="D3" s="187" t="s">
        <v>527</v>
      </c>
      <c r="E3" s="187" t="s">
        <v>529</v>
      </c>
      <c r="F3" s="187" t="s">
        <v>530</v>
      </c>
      <c r="G3" s="187" t="s">
        <v>532</v>
      </c>
      <c r="H3" s="187" t="s">
        <v>533</v>
      </c>
    </row>
    <row r="4" spans="1:23" s="193" customFormat="1" ht="43.95" customHeight="1" x14ac:dyDescent="0.3">
      <c r="A4" s="193" t="s">
        <v>514</v>
      </c>
      <c r="B4" s="193" t="s">
        <v>519</v>
      </c>
      <c r="C4" s="193" t="s">
        <v>526</v>
      </c>
      <c r="D4" s="193" t="s">
        <v>528</v>
      </c>
      <c r="E4" s="193" t="s">
        <v>531</v>
      </c>
      <c r="F4" s="193" t="s">
        <v>534</v>
      </c>
      <c r="G4" s="193" t="s">
        <v>535</v>
      </c>
    </row>
    <row r="5" spans="1:23" s="192" customFormat="1" ht="26.4" customHeight="1" x14ac:dyDescent="0.3">
      <c r="A5" s="192" t="s">
        <v>515</v>
      </c>
      <c r="B5" s="192" t="s">
        <v>520</v>
      </c>
    </row>
    <row r="6" spans="1:23" s="192" customFormat="1" ht="26.4" customHeight="1" x14ac:dyDescent="0.3">
      <c r="A6" s="192" t="s">
        <v>516</v>
      </c>
      <c r="B6" s="192" t="s">
        <v>521</v>
      </c>
    </row>
    <row r="7" spans="1:23" s="192" customFormat="1" ht="26.4" customHeight="1" x14ac:dyDescent="0.3">
      <c r="A7" s="192" t="s">
        <v>517</v>
      </c>
      <c r="B7" s="192" t="s">
        <v>522</v>
      </c>
    </row>
    <row r="9" spans="1:23" s="141" customFormat="1" x14ac:dyDescent="0.3">
      <c r="A9" s="196" t="s">
        <v>481</v>
      </c>
      <c r="B9" s="196" t="s">
        <v>409</v>
      </c>
      <c r="C9" s="196" t="s">
        <v>433</v>
      </c>
      <c r="D9" s="196" t="s">
        <v>418</v>
      </c>
      <c r="E9" s="196" t="s">
        <v>476</v>
      </c>
      <c r="F9" s="196" t="s">
        <v>478</v>
      </c>
      <c r="G9" s="196" t="s">
        <v>491</v>
      </c>
      <c r="H9" s="196" t="s">
        <v>420</v>
      </c>
      <c r="I9" s="196" t="s">
        <v>460</v>
      </c>
      <c r="J9" s="196" t="s">
        <v>461</v>
      </c>
      <c r="K9" s="196" t="s">
        <v>462</v>
      </c>
      <c r="L9" s="196" t="s">
        <v>463</v>
      </c>
      <c r="M9" s="196" t="s">
        <v>464</v>
      </c>
      <c r="N9" s="196" t="s">
        <v>465</v>
      </c>
      <c r="O9" s="196" t="s">
        <v>466</v>
      </c>
      <c r="P9" s="196" t="s">
        <v>467</v>
      </c>
      <c r="Q9" s="196" t="s">
        <v>468</v>
      </c>
      <c r="R9" s="196" t="s">
        <v>469</v>
      </c>
      <c r="S9" s="196" t="s">
        <v>470</v>
      </c>
      <c r="T9" s="196" t="s">
        <v>471</v>
      </c>
      <c r="U9" s="196" t="s">
        <v>472</v>
      </c>
      <c r="V9" s="196" t="s">
        <v>473</v>
      </c>
      <c r="W9" s="196" t="s">
        <v>431</v>
      </c>
    </row>
    <row r="10" spans="1:23" s="188" customFormat="1" ht="23.4" customHeight="1" x14ac:dyDescent="0.3">
      <c r="A10" s="194" t="s">
        <v>480</v>
      </c>
      <c r="B10" s="194" t="s">
        <v>407</v>
      </c>
      <c r="C10" s="194" t="s">
        <v>446</v>
      </c>
      <c r="D10" s="194" t="s">
        <v>13</v>
      </c>
      <c r="E10" s="194" t="s">
        <v>475</v>
      </c>
      <c r="F10" s="194" t="s">
        <v>479</v>
      </c>
      <c r="G10" s="194" t="s">
        <v>490</v>
      </c>
      <c r="H10" s="194" t="s">
        <v>477</v>
      </c>
      <c r="I10" s="194" t="s">
        <v>447</v>
      </c>
      <c r="J10" s="194" t="s">
        <v>449</v>
      </c>
      <c r="K10" s="194" t="s">
        <v>450</v>
      </c>
      <c r="L10" s="194" t="s">
        <v>451</v>
      </c>
      <c r="M10" s="194" t="s">
        <v>452</v>
      </c>
      <c r="N10" s="194" t="s">
        <v>453</v>
      </c>
      <c r="O10" s="194" t="s">
        <v>454</v>
      </c>
      <c r="P10" s="194" t="s">
        <v>256</v>
      </c>
      <c r="Q10" s="194" t="s">
        <v>455</v>
      </c>
      <c r="R10" s="194" t="s">
        <v>448</v>
      </c>
      <c r="S10" s="194" t="s">
        <v>456</v>
      </c>
      <c r="T10" s="194" t="s">
        <v>457</v>
      </c>
      <c r="U10" s="194" t="s">
        <v>458</v>
      </c>
      <c r="V10" s="194" t="s">
        <v>459</v>
      </c>
      <c r="W10" s="194" t="s">
        <v>474</v>
      </c>
    </row>
    <row r="11" spans="1:23" x14ac:dyDescent="0.3">
      <c r="A11" t="s">
        <v>482</v>
      </c>
    </row>
    <row r="12" spans="1:23" x14ac:dyDescent="0.3">
      <c r="A12" t="s">
        <v>483</v>
      </c>
    </row>
    <row r="13" spans="1:23" x14ac:dyDescent="0.3">
      <c r="A13" t="s">
        <v>484</v>
      </c>
    </row>
    <row r="14" spans="1:23" x14ac:dyDescent="0.3">
      <c r="A14" t="s">
        <v>485</v>
      </c>
    </row>
    <row r="15" spans="1:23" x14ac:dyDescent="0.3">
      <c r="A15" t="s">
        <v>486</v>
      </c>
    </row>
    <row r="16" spans="1:23" x14ac:dyDescent="0.3">
      <c r="A16" t="s">
        <v>487</v>
      </c>
    </row>
    <row r="17" spans="1:1" x14ac:dyDescent="0.3">
      <c r="A17" t="s">
        <v>489</v>
      </c>
    </row>
    <row r="18" spans="1:1" x14ac:dyDescent="0.3">
      <c r="A18" t="s">
        <v>488</v>
      </c>
    </row>
    <row r="19" spans="1:1" x14ac:dyDescent="0.3">
      <c r="A19" t="s">
        <v>492</v>
      </c>
    </row>
    <row r="20" spans="1:1" x14ac:dyDescent="0.3">
      <c r="A20" t="s">
        <v>493</v>
      </c>
    </row>
    <row r="21" spans="1:1" x14ac:dyDescent="0.3">
      <c r="A21" t="s">
        <v>494</v>
      </c>
    </row>
    <row r="22" spans="1:1" x14ac:dyDescent="0.3">
      <c r="A22" t="s">
        <v>495</v>
      </c>
    </row>
    <row r="23" spans="1:1" x14ac:dyDescent="0.3">
      <c r="A23" t="s">
        <v>496</v>
      </c>
    </row>
    <row r="24" spans="1:1" x14ac:dyDescent="0.3">
      <c r="A24" t="s">
        <v>497</v>
      </c>
    </row>
    <row r="25" spans="1:1" x14ac:dyDescent="0.3">
      <c r="A25" t="s">
        <v>498</v>
      </c>
    </row>
    <row r="26" spans="1:1" x14ac:dyDescent="0.3">
      <c r="A26" t="s">
        <v>499</v>
      </c>
    </row>
    <row r="27" spans="1:1" x14ac:dyDescent="0.3">
      <c r="A27" t="s">
        <v>500</v>
      </c>
    </row>
    <row r="28" spans="1:1" x14ac:dyDescent="0.3">
      <c r="A28" t="s">
        <v>501</v>
      </c>
    </row>
    <row r="29" spans="1:1" x14ac:dyDescent="0.3">
      <c r="A29" t="s">
        <v>502</v>
      </c>
    </row>
    <row r="30" spans="1:1" x14ac:dyDescent="0.3">
      <c r="A30" t="s">
        <v>503</v>
      </c>
    </row>
    <row r="31" spans="1:1" x14ac:dyDescent="0.3">
      <c r="A31" t="s">
        <v>504</v>
      </c>
    </row>
    <row r="32" spans="1:1" x14ac:dyDescent="0.3">
      <c r="A32" t="s">
        <v>505</v>
      </c>
    </row>
    <row r="33" spans="1:1" x14ac:dyDescent="0.3">
      <c r="A33" t="s">
        <v>506</v>
      </c>
    </row>
    <row r="34" spans="1:1" x14ac:dyDescent="0.3">
      <c r="A34" t="s">
        <v>507</v>
      </c>
    </row>
    <row r="35" spans="1:1" x14ac:dyDescent="0.3">
      <c r="A35" t="s">
        <v>508</v>
      </c>
    </row>
    <row r="36" spans="1:1" x14ac:dyDescent="0.3">
      <c r="A36" t="s">
        <v>509</v>
      </c>
    </row>
    <row r="37" spans="1:1" x14ac:dyDescent="0.3">
      <c r="A37" t="s">
        <v>510</v>
      </c>
    </row>
    <row r="38" spans="1:1" x14ac:dyDescent="0.3">
      <c r="A38" t="s">
        <v>511</v>
      </c>
    </row>
  </sheetData>
  <phoneticPr fontId="38" type="noConversion"/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63E18-BD36-4C4D-95CB-F26761224914}">
  <dimension ref="A2:H129"/>
  <sheetViews>
    <sheetView topLeftCell="A102" zoomScale="150" zoomScaleNormal="150" workbookViewId="0">
      <selection activeCell="B1" sqref="B1"/>
    </sheetView>
  </sheetViews>
  <sheetFormatPr defaultRowHeight="14.4" outlineLevelRow="1" x14ac:dyDescent="0.3"/>
  <cols>
    <col min="1" max="1" width="12.33203125" style="219" bestFit="1" customWidth="1"/>
    <col min="2" max="2" width="39.33203125" style="217" customWidth="1"/>
    <col min="3" max="3" width="9" customWidth="1"/>
    <col min="4" max="4" width="8.88671875" bestFit="1" customWidth="1"/>
    <col min="5" max="5" width="17.109375" customWidth="1"/>
    <col min="6" max="6" width="21.88671875" customWidth="1"/>
    <col min="7" max="7" width="7.6640625" bestFit="1" customWidth="1"/>
    <col min="8" max="8" width="7.33203125" customWidth="1"/>
  </cols>
  <sheetData>
    <row r="2" spans="1:2" ht="17.399999999999999" customHeight="1" x14ac:dyDescent="0.3">
      <c r="A2" s="218">
        <v>1</v>
      </c>
      <c r="B2" s="213" t="s">
        <v>541</v>
      </c>
    </row>
    <row r="3" spans="1:2" ht="17.399999999999999" customHeight="1" x14ac:dyDescent="0.3">
      <c r="A3" s="218">
        <v>1.01</v>
      </c>
      <c r="B3" s="213" t="s">
        <v>740</v>
      </c>
    </row>
    <row r="4" spans="1:2" ht="17.399999999999999" customHeight="1" x14ac:dyDescent="0.3">
      <c r="A4" s="218">
        <v>1.02</v>
      </c>
      <c r="B4" s="213" t="s">
        <v>741</v>
      </c>
    </row>
    <row r="5" spans="1:2" ht="17.399999999999999" customHeight="1" x14ac:dyDescent="0.3">
      <c r="A5" s="218">
        <v>1.03</v>
      </c>
      <c r="B5" s="213" t="s">
        <v>742</v>
      </c>
    </row>
    <row r="6" spans="1:2" ht="17.399999999999999" customHeight="1" x14ac:dyDescent="0.3">
      <c r="A6" s="218" t="s">
        <v>745</v>
      </c>
      <c r="B6" s="213" t="s">
        <v>747</v>
      </c>
    </row>
    <row r="7" spans="1:2" ht="17.399999999999999" customHeight="1" x14ac:dyDescent="0.3">
      <c r="A7" s="218" t="s">
        <v>746</v>
      </c>
      <c r="B7" s="213" t="s">
        <v>748</v>
      </c>
    </row>
    <row r="8" spans="1:2" ht="17.399999999999999" customHeight="1" x14ac:dyDescent="0.3">
      <c r="A8" s="218">
        <v>1.04</v>
      </c>
      <c r="B8" s="213" t="s">
        <v>743</v>
      </c>
    </row>
    <row r="9" spans="1:2" ht="17.399999999999999" customHeight="1" x14ac:dyDescent="0.3">
      <c r="A9" s="218">
        <v>1.05</v>
      </c>
      <c r="B9" s="213" t="s">
        <v>744</v>
      </c>
    </row>
    <row r="10" spans="1:2" ht="17.399999999999999" customHeight="1" x14ac:dyDescent="0.3">
      <c r="A10" s="218">
        <v>1.06</v>
      </c>
      <c r="B10" s="213" t="s">
        <v>749</v>
      </c>
    </row>
    <row r="11" spans="1:2" x14ac:dyDescent="0.3">
      <c r="A11" s="218">
        <v>2</v>
      </c>
      <c r="B11" s="213" t="s">
        <v>542</v>
      </c>
    </row>
    <row r="12" spans="1:2" x14ac:dyDescent="0.3">
      <c r="A12" s="218">
        <v>2.0099999999999998</v>
      </c>
      <c r="B12" s="213" t="s">
        <v>616</v>
      </c>
    </row>
    <row r="13" spans="1:2" x14ac:dyDescent="0.3">
      <c r="A13" s="218">
        <v>2.02</v>
      </c>
      <c r="B13" s="213" t="s">
        <v>615</v>
      </c>
    </row>
    <row r="14" spans="1:2" x14ac:dyDescent="0.3">
      <c r="A14" s="218">
        <v>2.0299999999999998</v>
      </c>
      <c r="B14" s="213" t="s">
        <v>617</v>
      </c>
    </row>
    <row r="15" spans="1:2" x14ac:dyDescent="0.3">
      <c r="A15" s="218">
        <v>2.04</v>
      </c>
      <c r="B15" s="213" t="s">
        <v>618</v>
      </c>
    </row>
    <row r="16" spans="1:2" x14ac:dyDescent="0.3">
      <c r="A16" s="218" t="s">
        <v>619</v>
      </c>
      <c r="B16" s="213" t="s">
        <v>621</v>
      </c>
    </row>
    <row r="17" spans="1:8" x14ac:dyDescent="0.3">
      <c r="A17" s="218" t="s">
        <v>620</v>
      </c>
      <c r="B17" s="213" t="s">
        <v>622</v>
      </c>
    </row>
    <row r="18" spans="1:8" x14ac:dyDescent="0.3">
      <c r="A18" s="218">
        <v>2.0499999999999998</v>
      </c>
      <c r="B18" s="213" t="s">
        <v>623</v>
      </c>
    </row>
    <row r="19" spans="1:8" x14ac:dyDescent="0.3">
      <c r="A19" s="218">
        <v>3</v>
      </c>
      <c r="B19" s="213" t="s">
        <v>543</v>
      </c>
    </row>
    <row r="20" spans="1:8" x14ac:dyDescent="0.3">
      <c r="A20" s="218">
        <v>3.01</v>
      </c>
      <c r="B20" s="213" t="s">
        <v>624</v>
      </c>
    </row>
    <row r="21" spans="1:8" x14ac:dyDescent="0.3">
      <c r="A21" s="218">
        <v>3.02</v>
      </c>
      <c r="B21" s="213" t="s">
        <v>625</v>
      </c>
    </row>
    <row r="22" spans="1:8" x14ac:dyDescent="0.3">
      <c r="A22" s="218">
        <v>3.03</v>
      </c>
      <c r="B22" s="213" t="s">
        <v>627</v>
      </c>
    </row>
    <row r="23" spans="1:8" x14ac:dyDescent="0.3">
      <c r="A23" s="218">
        <v>3.04</v>
      </c>
      <c r="B23" s="213" t="s">
        <v>626</v>
      </c>
    </row>
    <row r="24" spans="1:8" x14ac:dyDescent="0.3">
      <c r="A24" s="218">
        <v>3.05</v>
      </c>
      <c r="B24" s="213" t="s">
        <v>628</v>
      </c>
    </row>
    <row r="25" spans="1:8" x14ac:dyDescent="0.3">
      <c r="A25" s="218">
        <v>3.06</v>
      </c>
      <c r="B25" s="213" t="s">
        <v>629</v>
      </c>
    </row>
    <row r="26" spans="1:8" x14ac:dyDescent="0.3">
      <c r="A26" s="218">
        <v>3.07</v>
      </c>
      <c r="B26" s="213" t="s">
        <v>630</v>
      </c>
    </row>
    <row r="27" spans="1:8" x14ac:dyDescent="0.3">
      <c r="A27" s="218">
        <v>3.08</v>
      </c>
      <c r="B27" s="213" t="s">
        <v>631</v>
      </c>
    </row>
    <row r="28" spans="1:8" x14ac:dyDescent="0.3">
      <c r="A28" s="218">
        <v>4</v>
      </c>
      <c r="B28" s="214" t="s">
        <v>544</v>
      </c>
    </row>
    <row r="29" spans="1:8" x14ac:dyDescent="0.3">
      <c r="A29" s="218">
        <v>5</v>
      </c>
      <c r="B29" s="214" t="s">
        <v>545</v>
      </c>
    </row>
    <row r="30" spans="1:8" s="192" customFormat="1" x14ac:dyDescent="0.3">
      <c r="A30" s="220">
        <v>6</v>
      </c>
      <c r="B30" s="215" t="s">
        <v>546</v>
      </c>
    </row>
    <row r="31" spans="1:8" s="192" customFormat="1" ht="28.8" x14ac:dyDescent="0.3">
      <c r="A31" s="220">
        <v>7</v>
      </c>
      <c r="B31" s="215" t="s">
        <v>547</v>
      </c>
      <c r="C31" s="193" t="s">
        <v>970</v>
      </c>
      <c r="D31" s="193"/>
      <c r="E31" s="193" t="s">
        <v>971</v>
      </c>
      <c r="F31" s="193" t="s">
        <v>982</v>
      </c>
      <c r="G31" s="193" t="s">
        <v>983</v>
      </c>
      <c r="H31" s="193" t="s">
        <v>869</v>
      </c>
    </row>
    <row r="32" spans="1:8" x14ac:dyDescent="0.3">
      <c r="A32" s="218">
        <v>8</v>
      </c>
      <c r="B32" s="214" t="s">
        <v>551</v>
      </c>
      <c r="C32" t="s">
        <v>980</v>
      </c>
      <c r="D32" t="s">
        <v>981</v>
      </c>
    </row>
    <row r="33" spans="1:2" x14ac:dyDescent="0.3">
      <c r="A33" s="218">
        <v>8.01</v>
      </c>
      <c r="B33" s="214" t="s">
        <v>693</v>
      </c>
    </row>
    <row r="34" spans="1:2" x14ac:dyDescent="0.3">
      <c r="A34" s="218" t="s">
        <v>972</v>
      </c>
      <c r="B34" s="214" t="s">
        <v>979</v>
      </c>
    </row>
    <row r="35" spans="1:2" x14ac:dyDescent="0.3">
      <c r="A35" s="218" t="s">
        <v>973</v>
      </c>
      <c r="B35" s="214"/>
    </row>
    <row r="36" spans="1:2" x14ac:dyDescent="0.3">
      <c r="A36" s="218" t="s">
        <v>974</v>
      </c>
      <c r="B36" s="214"/>
    </row>
    <row r="37" spans="1:2" x14ac:dyDescent="0.3">
      <c r="A37" s="218" t="s">
        <v>975</v>
      </c>
      <c r="B37" s="214"/>
    </row>
    <row r="38" spans="1:2" x14ac:dyDescent="0.3">
      <c r="A38" s="218">
        <v>8.02</v>
      </c>
      <c r="B38" s="214" t="s">
        <v>692</v>
      </c>
    </row>
    <row r="39" spans="1:2" x14ac:dyDescent="0.3">
      <c r="A39" s="218" t="s">
        <v>976</v>
      </c>
      <c r="B39" s="214"/>
    </row>
    <row r="40" spans="1:2" x14ac:dyDescent="0.3">
      <c r="A40" s="218" t="s">
        <v>977</v>
      </c>
      <c r="B40" s="214"/>
    </row>
    <row r="41" spans="1:2" x14ac:dyDescent="0.3">
      <c r="A41" s="218" t="s">
        <v>978</v>
      </c>
      <c r="B41" s="214"/>
    </row>
    <row r="42" spans="1:2" ht="27.6" x14ac:dyDescent="0.3">
      <c r="A42" s="218">
        <v>8.0299999999999994</v>
      </c>
      <c r="B42" s="214" t="s">
        <v>691</v>
      </c>
    </row>
    <row r="43" spans="1:2" ht="27.6" x14ac:dyDescent="0.3">
      <c r="A43" s="218">
        <v>8.0399999999999991</v>
      </c>
      <c r="B43" s="214" t="s">
        <v>690</v>
      </c>
    </row>
    <row r="44" spans="1:2" ht="27.6" x14ac:dyDescent="0.3">
      <c r="A44" s="218">
        <v>8.0500000000000007</v>
      </c>
      <c r="B44" s="215" t="s">
        <v>689</v>
      </c>
    </row>
    <row r="45" spans="1:2" ht="18.600000000000001" customHeight="1" x14ac:dyDescent="0.3">
      <c r="A45" s="218" t="s">
        <v>878</v>
      </c>
      <c r="B45" s="215" t="s">
        <v>879</v>
      </c>
    </row>
    <row r="46" spans="1:2" ht="18.600000000000001" customHeight="1" x14ac:dyDescent="0.3">
      <c r="A46" s="218" t="s">
        <v>880</v>
      </c>
      <c r="B46" s="215" t="s">
        <v>882</v>
      </c>
    </row>
    <row r="47" spans="1:2" ht="18.600000000000001" hidden="1" customHeight="1" outlineLevel="1" x14ac:dyDescent="0.3">
      <c r="A47" s="218" t="s">
        <v>887</v>
      </c>
      <c r="B47" s="215" t="s">
        <v>883</v>
      </c>
    </row>
    <row r="48" spans="1:2" ht="18.600000000000001" hidden="1" customHeight="1" outlineLevel="1" x14ac:dyDescent="0.3">
      <c r="A48" s="218" t="s">
        <v>888</v>
      </c>
      <c r="B48" s="215" t="s">
        <v>884</v>
      </c>
    </row>
    <row r="49" spans="1:2" ht="18.600000000000001" hidden="1" customHeight="1" outlineLevel="1" x14ac:dyDescent="0.3">
      <c r="A49" s="218" t="s">
        <v>889</v>
      </c>
      <c r="B49" s="215" t="s">
        <v>885</v>
      </c>
    </row>
    <row r="50" spans="1:2" ht="18.600000000000001" hidden="1" customHeight="1" outlineLevel="1" x14ac:dyDescent="0.3">
      <c r="A50" s="218" t="s">
        <v>890</v>
      </c>
      <c r="B50" s="215" t="s">
        <v>886</v>
      </c>
    </row>
    <row r="51" spans="1:2" ht="18.600000000000001" hidden="1" customHeight="1" outlineLevel="1" x14ac:dyDescent="0.3">
      <c r="A51" s="218" t="s">
        <v>892</v>
      </c>
      <c r="B51" s="215" t="s">
        <v>891</v>
      </c>
    </row>
    <row r="52" spans="1:2" ht="18.600000000000001" hidden="1" customHeight="1" outlineLevel="1" x14ac:dyDescent="0.3">
      <c r="A52" s="218" t="s">
        <v>895</v>
      </c>
      <c r="B52" s="215" t="s">
        <v>894</v>
      </c>
    </row>
    <row r="53" spans="1:2" ht="18.600000000000001" customHeight="1" collapsed="1" x14ac:dyDescent="0.3">
      <c r="A53" s="218" t="s">
        <v>881</v>
      </c>
      <c r="B53" s="215" t="s">
        <v>896</v>
      </c>
    </row>
    <row r="54" spans="1:2" ht="18.600000000000001" hidden="1" customHeight="1" outlineLevel="1" x14ac:dyDescent="0.3">
      <c r="A54" s="218" t="s">
        <v>898</v>
      </c>
      <c r="B54" s="215" t="s">
        <v>900</v>
      </c>
    </row>
    <row r="55" spans="1:2" ht="18.600000000000001" hidden="1" customHeight="1" outlineLevel="1" x14ac:dyDescent="0.3">
      <c r="A55" s="218" t="s">
        <v>906</v>
      </c>
      <c r="B55" s="215" t="s">
        <v>907</v>
      </c>
    </row>
    <row r="56" spans="1:2" ht="18.600000000000001" hidden="1" customHeight="1" outlineLevel="1" x14ac:dyDescent="0.3">
      <c r="A56" s="218" t="s">
        <v>908</v>
      </c>
      <c r="B56" s="215" t="s">
        <v>909</v>
      </c>
    </row>
    <row r="57" spans="1:2" ht="18.600000000000001" hidden="1" customHeight="1" outlineLevel="1" x14ac:dyDescent="0.3">
      <c r="A57" s="218" t="s">
        <v>910</v>
      </c>
      <c r="B57" s="215" t="s">
        <v>911</v>
      </c>
    </row>
    <row r="58" spans="1:2" ht="18.600000000000001" hidden="1" customHeight="1" outlineLevel="1" x14ac:dyDescent="0.3">
      <c r="A58" s="218" t="s">
        <v>912</v>
      </c>
      <c r="B58" s="215" t="s">
        <v>913</v>
      </c>
    </row>
    <row r="59" spans="1:2" ht="18.600000000000001" hidden="1" customHeight="1" outlineLevel="1" x14ac:dyDescent="0.3">
      <c r="A59" s="218" t="s">
        <v>899</v>
      </c>
      <c r="B59" s="215" t="s">
        <v>901</v>
      </c>
    </row>
    <row r="60" spans="1:2" ht="18.600000000000001" hidden="1" customHeight="1" outlineLevel="1" x14ac:dyDescent="0.3">
      <c r="A60" s="218" t="s">
        <v>914</v>
      </c>
      <c r="B60" s="215" t="s">
        <v>917</v>
      </c>
    </row>
    <row r="61" spans="1:2" ht="18.600000000000001" hidden="1" customHeight="1" outlineLevel="1" x14ac:dyDescent="0.3">
      <c r="A61" s="218" t="s">
        <v>915</v>
      </c>
      <c r="B61" s="215" t="s">
        <v>918</v>
      </c>
    </row>
    <row r="62" spans="1:2" ht="18.600000000000001" hidden="1" customHeight="1" outlineLevel="1" x14ac:dyDescent="0.3">
      <c r="A62" s="218" t="s">
        <v>916</v>
      </c>
      <c r="B62" s="215" t="s">
        <v>919</v>
      </c>
    </row>
    <row r="63" spans="1:2" ht="18.600000000000001" hidden="1" customHeight="1" outlineLevel="1" x14ac:dyDescent="0.3">
      <c r="A63" s="218" t="s">
        <v>903</v>
      </c>
      <c r="B63" s="215" t="s">
        <v>902</v>
      </c>
    </row>
    <row r="64" spans="1:2" ht="18.600000000000001" hidden="1" customHeight="1" outlineLevel="1" x14ac:dyDescent="0.3">
      <c r="A64" s="218" t="s">
        <v>920</v>
      </c>
      <c r="B64" s="215" t="s">
        <v>923</v>
      </c>
    </row>
    <row r="65" spans="1:8" ht="18.600000000000001" hidden="1" customHeight="1" outlineLevel="1" x14ac:dyDescent="0.3">
      <c r="A65" s="218" t="s">
        <v>921</v>
      </c>
      <c r="B65" s="215" t="s">
        <v>924</v>
      </c>
    </row>
    <row r="66" spans="1:8" ht="18.600000000000001" hidden="1" customHeight="1" outlineLevel="1" x14ac:dyDescent="0.3">
      <c r="A66" s="218" t="s">
        <v>922</v>
      </c>
      <c r="B66" s="215" t="s">
        <v>886</v>
      </c>
    </row>
    <row r="67" spans="1:8" ht="18.600000000000001" hidden="1" customHeight="1" outlineLevel="1" x14ac:dyDescent="0.3">
      <c r="A67" s="218" t="s">
        <v>925</v>
      </c>
      <c r="B67" s="215" t="s">
        <v>919</v>
      </c>
    </row>
    <row r="68" spans="1:8" ht="18.600000000000001" hidden="1" customHeight="1" outlineLevel="1" x14ac:dyDescent="0.3">
      <c r="A68" s="218" t="s">
        <v>904</v>
      </c>
      <c r="B68" s="215" t="s">
        <v>905</v>
      </c>
    </row>
    <row r="69" spans="1:8" ht="18.600000000000001" customHeight="1" collapsed="1" x14ac:dyDescent="0.3">
      <c r="A69" s="218" t="s">
        <v>893</v>
      </c>
      <c r="B69" s="215" t="s">
        <v>894</v>
      </c>
    </row>
    <row r="70" spans="1:8" ht="18.600000000000001" customHeight="1" x14ac:dyDescent="0.3">
      <c r="A70" s="218" t="s">
        <v>897</v>
      </c>
      <c r="B70" s="215" t="s">
        <v>926</v>
      </c>
    </row>
    <row r="71" spans="1:8" ht="18.600000000000001" customHeight="1" x14ac:dyDescent="0.3">
      <c r="A71" s="218" t="s">
        <v>927</v>
      </c>
      <c r="B71" s="215" t="s">
        <v>929</v>
      </c>
    </row>
    <row r="72" spans="1:8" ht="18.600000000000001" customHeight="1" x14ac:dyDescent="0.3">
      <c r="A72" s="218" t="s">
        <v>928</v>
      </c>
      <c r="B72" s="215" t="s">
        <v>930</v>
      </c>
    </row>
    <row r="73" spans="1:8" ht="43.2" x14ac:dyDescent="0.3">
      <c r="A73" s="218">
        <v>8.06</v>
      </c>
      <c r="B73" s="215" t="s">
        <v>687</v>
      </c>
      <c r="C73" s="155" t="s">
        <v>865</v>
      </c>
      <c r="D73" s="155"/>
      <c r="E73" s="155" t="s">
        <v>866</v>
      </c>
      <c r="F73" s="155" t="s">
        <v>867</v>
      </c>
      <c r="G73" s="155" t="s">
        <v>868</v>
      </c>
      <c r="H73" s="155" t="s">
        <v>869</v>
      </c>
    </row>
    <row r="74" spans="1:8" hidden="1" outlineLevel="1" x14ac:dyDescent="0.3">
      <c r="A74" s="218" t="s">
        <v>694</v>
      </c>
      <c r="B74" s="215" t="s">
        <v>858</v>
      </c>
    </row>
    <row r="75" spans="1:8" ht="27.6" hidden="1" outlineLevel="1" x14ac:dyDescent="0.3">
      <c r="A75" s="218" t="s">
        <v>695</v>
      </c>
      <c r="B75" s="215" t="s">
        <v>859</v>
      </c>
    </row>
    <row r="76" spans="1:8" ht="41.4" hidden="1" outlineLevel="1" x14ac:dyDescent="0.3">
      <c r="A76" s="218" t="s">
        <v>696</v>
      </c>
      <c r="B76" s="215" t="s">
        <v>860</v>
      </c>
    </row>
    <row r="77" spans="1:8" hidden="1" outlineLevel="1" x14ac:dyDescent="0.3">
      <c r="A77" s="218" t="s">
        <v>697</v>
      </c>
      <c r="B77" s="215" t="s">
        <v>861</v>
      </c>
    </row>
    <row r="78" spans="1:8" hidden="1" outlineLevel="1" x14ac:dyDescent="0.3">
      <c r="A78" s="218" t="s">
        <v>698</v>
      </c>
      <c r="B78" s="215" t="s">
        <v>862</v>
      </c>
    </row>
    <row r="79" spans="1:8" hidden="1" outlineLevel="1" x14ac:dyDescent="0.3">
      <c r="A79" s="218" t="s">
        <v>699</v>
      </c>
      <c r="B79" s="215" t="s">
        <v>863</v>
      </c>
    </row>
    <row r="80" spans="1:8" hidden="1" outlineLevel="1" x14ac:dyDescent="0.3">
      <c r="A80" s="218" t="s">
        <v>700</v>
      </c>
      <c r="B80" s="215" t="s">
        <v>864</v>
      </c>
    </row>
    <row r="81" spans="1:2" ht="41.4" collapsed="1" x14ac:dyDescent="0.3">
      <c r="A81" s="218">
        <v>8.07</v>
      </c>
      <c r="B81" s="215" t="s">
        <v>688</v>
      </c>
    </row>
    <row r="82" spans="1:2" outlineLevel="1" x14ac:dyDescent="0.3">
      <c r="A82" s="218" t="s">
        <v>870</v>
      </c>
      <c r="B82" s="214" t="s">
        <v>517</v>
      </c>
    </row>
    <row r="83" spans="1:2" outlineLevel="1" x14ac:dyDescent="0.3">
      <c r="A83" s="218" t="s">
        <v>873</v>
      </c>
      <c r="B83" s="214" t="s">
        <v>872</v>
      </c>
    </row>
    <row r="84" spans="1:2" outlineLevel="1" x14ac:dyDescent="0.3">
      <c r="A84" s="218" t="s">
        <v>875</v>
      </c>
      <c r="B84" s="214" t="s">
        <v>874</v>
      </c>
    </row>
    <row r="85" spans="1:2" outlineLevel="1" x14ac:dyDescent="0.3">
      <c r="A85" s="218" t="s">
        <v>871</v>
      </c>
      <c r="B85" s="214" t="s">
        <v>640</v>
      </c>
    </row>
    <row r="86" spans="1:2" outlineLevel="1" x14ac:dyDescent="0.3">
      <c r="A86" s="218" t="s">
        <v>877</v>
      </c>
      <c r="B86" s="214" t="s">
        <v>876</v>
      </c>
    </row>
    <row r="87" spans="1:2" outlineLevel="1" x14ac:dyDescent="0.3">
      <c r="A87" s="218"/>
      <c r="B87" s="214"/>
    </row>
    <row r="88" spans="1:2" x14ac:dyDescent="0.3">
      <c r="A88" s="218">
        <v>9</v>
      </c>
      <c r="B88" s="214" t="s">
        <v>548</v>
      </c>
    </row>
    <row r="89" spans="1:2" x14ac:dyDescent="0.3">
      <c r="A89" s="218">
        <v>10</v>
      </c>
      <c r="B89" s="214" t="s">
        <v>549</v>
      </c>
    </row>
    <row r="90" spans="1:2" x14ac:dyDescent="0.3">
      <c r="A90" s="218">
        <v>11</v>
      </c>
      <c r="B90" s="214" t="s">
        <v>550</v>
      </c>
    </row>
    <row r="91" spans="1:2" x14ac:dyDescent="0.3">
      <c r="A91" s="218">
        <v>12</v>
      </c>
      <c r="B91" s="216"/>
    </row>
    <row r="92" spans="1:2" x14ac:dyDescent="0.3">
      <c r="A92" s="218">
        <v>13</v>
      </c>
      <c r="B92" s="216"/>
    </row>
    <row r="93" spans="1:2" x14ac:dyDescent="0.3">
      <c r="A93" s="218">
        <v>14</v>
      </c>
      <c r="B93" s="216"/>
    </row>
    <row r="94" spans="1:2" x14ac:dyDescent="0.3">
      <c r="A94" s="218">
        <v>15</v>
      </c>
      <c r="B94" s="216"/>
    </row>
    <row r="95" spans="1:2" x14ac:dyDescent="0.3">
      <c r="A95" s="218">
        <v>16</v>
      </c>
      <c r="B95" s="216"/>
    </row>
    <row r="96" spans="1:2" x14ac:dyDescent="0.3">
      <c r="A96" s="219">
        <v>1</v>
      </c>
      <c r="B96" s="217" t="s">
        <v>931</v>
      </c>
    </row>
    <row r="97" spans="1:2" x14ac:dyDescent="0.3">
      <c r="A97" s="219">
        <v>2</v>
      </c>
      <c r="B97" s="217" t="s">
        <v>932</v>
      </c>
    </row>
    <row r="98" spans="1:2" x14ac:dyDescent="0.3">
      <c r="A98" s="219">
        <v>3</v>
      </c>
      <c r="B98" s="217" t="s">
        <v>933</v>
      </c>
    </row>
    <row r="99" spans="1:2" x14ac:dyDescent="0.3">
      <c r="A99" s="219">
        <v>4</v>
      </c>
      <c r="B99" s="217" t="s">
        <v>934</v>
      </c>
    </row>
    <row r="100" spans="1:2" x14ac:dyDescent="0.3">
      <c r="A100" s="219">
        <v>5</v>
      </c>
      <c r="B100" s="217" t="s">
        <v>935</v>
      </c>
    </row>
    <row r="101" spans="1:2" x14ac:dyDescent="0.3">
      <c r="A101" s="219">
        <v>6</v>
      </c>
      <c r="B101" s="217" t="s">
        <v>936</v>
      </c>
    </row>
    <row r="102" spans="1:2" x14ac:dyDescent="0.3">
      <c r="A102" s="219">
        <v>7</v>
      </c>
      <c r="B102" s="217" t="s">
        <v>942</v>
      </c>
    </row>
    <row r="103" spans="1:2" x14ac:dyDescent="0.3">
      <c r="A103" s="219">
        <v>7.01</v>
      </c>
      <c r="B103" s="217" t="s">
        <v>937</v>
      </c>
    </row>
    <row r="104" spans="1:2" x14ac:dyDescent="0.3">
      <c r="A104" s="219">
        <v>7.01</v>
      </c>
      <c r="B104" s="217" t="s">
        <v>938</v>
      </c>
    </row>
    <row r="105" spans="1:2" x14ac:dyDescent="0.3">
      <c r="A105" s="219">
        <v>7.01</v>
      </c>
      <c r="B105" s="217" t="s">
        <v>939</v>
      </c>
    </row>
    <row r="106" spans="1:2" x14ac:dyDescent="0.3">
      <c r="A106" s="219">
        <v>7.01</v>
      </c>
      <c r="B106" s="217" t="s">
        <v>940</v>
      </c>
    </row>
    <row r="107" spans="1:2" x14ac:dyDescent="0.3">
      <c r="A107" s="219">
        <v>7.01</v>
      </c>
      <c r="B107" s="217" t="s">
        <v>941</v>
      </c>
    </row>
    <row r="108" spans="1:2" x14ac:dyDescent="0.3">
      <c r="A108" s="219">
        <v>8</v>
      </c>
      <c r="B108" s="217" t="s">
        <v>943</v>
      </c>
    </row>
    <row r="109" spans="1:2" x14ac:dyDescent="0.3">
      <c r="A109" s="219">
        <v>8.01</v>
      </c>
      <c r="B109" s="217" t="s">
        <v>944</v>
      </c>
    </row>
    <row r="110" spans="1:2" x14ac:dyDescent="0.3">
      <c r="A110" s="219">
        <v>8.02</v>
      </c>
      <c r="B110" s="217" t="s">
        <v>748</v>
      </c>
    </row>
    <row r="111" spans="1:2" x14ac:dyDescent="0.3">
      <c r="A111" s="219">
        <v>8.0299999999999994</v>
      </c>
      <c r="B111" s="217" t="s">
        <v>945</v>
      </c>
    </row>
    <row r="112" spans="1:2" x14ac:dyDescent="0.3">
      <c r="A112" s="219">
        <v>9</v>
      </c>
      <c r="B112" s="217" t="s">
        <v>946</v>
      </c>
    </row>
    <row r="113" spans="1:2" x14ac:dyDescent="0.3">
      <c r="A113" s="219">
        <v>9.01</v>
      </c>
      <c r="B113" s="217" t="s">
        <v>947</v>
      </c>
    </row>
    <row r="114" spans="1:2" x14ac:dyDescent="0.3">
      <c r="A114" s="219">
        <v>10</v>
      </c>
      <c r="B114" s="217" t="s">
        <v>948</v>
      </c>
    </row>
    <row r="115" spans="1:2" x14ac:dyDescent="0.3">
      <c r="A115" s="219">
        <v>11</v>
      </c>
      <c r="B115" s="217" t="s">
        <v>949</v>
      </c>
    </row>
    <row r="116" spans="1:2" x14ac:dyDescent="0.3">
      <c r="A116" s="219">
        <v>12</v>
      </c>
      <c r="B116" s="217" t="s">
        <v>950</v>
      </c>
    </row>
    <row r="118" spans="1:2" x14ac:dyDescent="0.3">
      <c r="A118" s="219">
        <v>13</v>
      </c>
      <c r="B118" s="217" t="s">
        <v>951</v>
      </c>
    </row>
    <row r="119" spans="1:2" x14ac:dyDescent="0.3">
      <c r="A119" s="219">
        <v>13.01</v>
      </c>
      <c r="B119" s="217" t="s">
        <v>956</v>
      </c>
    </row>
    <row r="120" spans="1:2" x14ac:dyDescent="0.3">
      <c r="A120" s="219" t="s">
        <v>959</v>
      </c>
      <c r="B120" s="217" t="s">
        <v>958</v>
      </c>
    </row>
    <row r="121" spans="1:2" x14ac:dyDescent="0.3">
      <c r="A121" s="219">
        <v>13.02</v>
      </c>
      <c r="B121" s="217" t="s">
        <v>957</v>
      </c>
    </row>
    <row r="122" spans="1:2" x14ac:dyDescent="0.3">
      <c r="A122" s="219" t="s">
        <v>960</v>
      </c>
      <c r="B122" s="217" t="s">
        <v>952</v>
      </c>
    </row>
    <row r="123" spans="1:2" x14ac:dyDescent="0.3">
      <c r="A123" s="219" t="s">
        <v>961</v>
      </c>
      <c r="B123" s="217" t="s">
        <v>953</v>
      </c>
    </row>
    <row r="124" spans="1:2" x14ac:dyDescent="0.3">
      <c r="A124" s="219" t="s">
        <v>962</v>
      </c>
      <c r="B124" s="217" t="s">
        <v>954</v>
      </c>
    </row>
    <row r="125" spans="1:2" x14ac:dyDescent="0.3">
      <c r="A125" s="219" t="s">
        <v>963</v>
      </c>
      <c r="B125" s="217" t="s">
        <v>635</v>
      </c>
    </row>
    <row r="126" spans="1:2" x14ac:dyDescent="0.3">
      <c r="A126" s="219" t="s">
        <v>964</v>
      </c>
      <c r="B126" s="217" t="s">
        <v>304</v>
      </c>
    </row>
    <row r="127" spans="1:2" x14ac:dyDescent="0.3">
      <c r="A127" s="219" t="s">
        <v>965</v>
      </c>
      <c r="B127" s="217" t="s">
        <v>968</v>
      </c>
    </row>
    <row r="128" spans="1:2" x14ac:dyDescent="0.3">
      <c r="A128" s="219" t="s">
        <v>966</v>
      </c>
      <c r="B128" s="217" t="s">
        <v>955</v>
      </c>
    </row>
    <row r="129" spans="1:2" x14ac:dyDescent="0.3">
      <c r="A129" s="219" t="s">
        <v>969</v>
      </c>
      <c r="B129" s="217" t="s">
        <v>967</v>
      </c>
    </row>
  </sheetData>
  <phoneticPr fontId="38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F7DBF-785A-4D1B-85F7-6CF769AD12C5}">
  <dimension ref="A1:AT72"/>
  <sheetViews>
    <sheetView zoomScale="115" zoomScaleNormal="120" workbookViewId="0">
      <pane xSplit="2" ySplit="5" topLeftCell="C6" activePane="bottomRight" state="frozen"/>
      <selection pane="topRight" activeCell="C1" sqref="C1"/>
      <selection pane="bottomLeft" activeCell="A4" sqref="A4"/>
      <selection pane="bottomRight" activeCell="B1" sqref="B1"/>
    </sheetView>
  </sheetViews>
  <sheetFormatPr defaultRowHeight="14.4" outlineLevelRow="1" x14ac:dyDescent="0.3"/>
  <cols>
    <col min="1" max="1" width="9.44140625" customWidth="1"/>
    <col min="2" max="2" width="31.44140625" style="155" customWidth="1"/>
    <col min="3" max="3" width="14.6640625" bestFit="1" customWidth="1"/>
    <col min="4" max="4" width="9.6640625" customWidth="1"/>
    <col min="5" max="5" width="7.6640625" bestFit="1" customWidth="1"/>
    <col min="6" max="11" width="9.6640625" bestFit="1" customWidth="1"/>
    <col min="12" max="16" width="7.6640625" bestFit="1" customWidth="1"/>
    <col min="17" max="17" width="8.6640625" bestFit="1" customWidth="1"/>
    <col min="18" max="32" width="7.6640625" bestFit="1" customWidth="1"/>
    <col min="33" max="33" width="11.5546875" bestFit="1" customWidth="1"/>
    <col min="34" max="34" width="9.88671875" bestFit="1" customWidth="1"/>
    <col min="35" max="35" width="7.6640625" bestFit="1" customWidth="1"/>
    <col min="36" max="36" width="11" customWidth="1"/>
    <col min="37" max="37" width="9.33203125" bestFit="1" customWidth="1"/>
    <col min="38" max="46" width="7.6640625" bestFit="1" customWidth="1"/>
  </cols>
  <sheetData>
    <row r="1" spans="1:46" x14ac:dyDescent="0.3">
      <c r="AH1" t="s">
        <v>815</v>
      </c>
      <c r="AJ1" t="s">
        <v>595</v>
      </c>
      <c r="AK1" t="s">
        <v>596</v>
      </c>
    </row>
    <row r="2" spans="1:46" s="187" customFormat="1" ht="17.399999999999999" customHeight="1" x14ac:dyDescent="0.3">
      <c r="B2" s="188"/>
      <c r="AG2" s="187" t="s">
        <v>583</v>
      </c>
      <c r="AH2" s="187" t="s">
        <v>812</v>
      </c>
      <c r="AJ2" s="187" t="s">
        <v>813</v>
      </c>
      <c r="AK2" s="187" t="s">
        <v>814</v>
      </c>
    </row>
    <row r="3" spans="1:46" x14ac:dyDescent="0.3">
      <c r="E3" t="s">
        <v>763</v>
      </c>
      <c r="F3" t="s">
        <v>764</v>
      </c>
      <c r="G3" t="s">
        <v>765</v>
      </c>
      <c r="H3" t="s">
        <v>766</v>
      </c>
      <c r="I3" t="s">
        <v>767</v>
      </c>
      <c r="J3" t="s">
        <v>768</v>
      </c>
      <c r="K3" t="s">
        <v>769</v>
      </c>
      <c r="L3" t="s">
        <v>783</v>
      </c>
      <c r="M3" t="s">
        <v>784</v>
      </c>
      <c r="N3" t="s">
        <v>785</v>
      </c>
      <c r="O3" t="s">
        <v>786</v>
      </c>
      <c r="P3" t="s">
        <v>787</v>
      </c>
      <c r="Q3" t="s">
        <v>811</v>
      </c>
      <c r="R3" t="s">
        <v>788</v>
      </c>
      <c r="S3" t="s">
        <v>789</v>
      </c>
      <c r="T3" t="s">
        <v>790</v>
      </c>
      <c r="U3" t="s">
        <v>791</v>
      </c>
      <c r="V3" t="s">
        <v>792</v>
      </c>
      <c r="W3" t="s">
        <v>793</v>
      </c>
      <c r="X3" t="s">
        <v>794</v>
      </c>
      <c r="Y3" t="s">
        <v>795</v>
      </c>
      <c r="Z3" t="s">
        <v>796</v>
      </c>
      <c r="AA3" t="s">
        <v>797</v>
      </c>
      <c r="AB3" t="s">
        <v>798</v>
      </c>
      <c r="AC3" t="s">
        <v>799</v>
      </c>
      <c r="AD3" t="s">
        <v>800</v>
      </c>
      <c r="AE3" t="s">
        <v>585</v>
      </c>
      <c r="AF3" t="s">
        <v>584</v>
      </c>
      <c r="AG3" t="s">
        <v>579</v>
      </c>
      <c r="AH3" t="s">
        <v>586</v>
      </c>
      <c r="AI3" t="s">
        <v>588</v>
      </c>
      <c r="AJ3" t="s">
        <v>589</v>
      </c>
      <c r="AK3" t="s">
        <v>801</v>
      </c>
      <c r="AL3" t="s">
        <v>802</v>
      </c>
      <c r="AM3" t="s">
        <v>803</v>
      </c>
      <c r="AN3" t="s">
        <v>804</v>
      </c>
      <c r="AO3" t="s">
        <v>805</v>
      </c>
      <c r="AP3" t="s">
        <v>806</v>
      </c>
      <c r="AQ3" t="s">
        <v>807</v>
      </c>
      <c r="AR3" t="s">
        <v>808</v>
      </c>
      <c r="AS3" t="s">
        <v>809</v>
      </c>
      <c r="AT3" t="s">
        <v>810</v>
      </c>
    </row>
    <row r="5" spans="1:46" x14ac:dyDescent="0.3">
      <c r="A5" t="s">
        <v>442</v>
      </c>
      <c r="B5" s="155" t="s">
        <v>750</v>
      </c>
      <c r="D5" t="s">
        <v>485</v>
      </c>
    </row>
    <row r="6" spans="1:46" s="192" customFormat="1" ht="22.95" customHeight="1" x14ac:dyDescent="0.3">
      <c r="A6" s="192" t="s">
        <v>829</v>
      </c>
      <c r="B6" s="193" t="s">
        <v>632</v>
      </c>
    </row>
    <row r="7" spans="1:46" s="192" customFormat="1" ht="22.95" customHeight="1" x14ac:dyDescent="0.3">
      <c r="A7" s="192" t="s">
        <v>841</v>
      </c>
      <c r="B7" s="193" t="s">
        <v>830</v>
      </c>
    </row>
    <row r="8" spans="1:46" s="192" customFormat="1" ht="22.95" customHeight="1" x14ac:dyDescent="0.3">
      <c r="A8" s="192" t="s">
        <v>842</v>
      </c>
      <c r="B8" s="193" t="s">
        <v>831</v>
      </c>
    </row>
    <row r="9" spans="1:46" s="192" customFormat="1" ht="22.95" customHeight="1" x14ac:dyDescent="0.3">
      <c r="A9" s="192" t="s">
        <v>843</v>
      </c>
      <c r="B9" s="193" t="s">
        <v>832</v>
      </c>
    </row>
    <row r="10" spans="1:46" s="192" customFormat="1" ht="22.95" customHeight="1" outlineLevel="1" x14ac:dyDescent="0.3">
      <c r="A10" s="192" t="s">
        <v>845</v>
      </c>
      <c r="B10" s="193" t="s">
        <v>833</v>
      </c>
    </row>
    <row r="11" spans="1:46" s="192" customFormat="1" ht="22.95" customHeight="1" outlineLevel="1" x14ac:dyDescent="0.3">
      <c r="A11" s="192" t="s">
        <v>846</v>
      </c>
      <c r="B11" s="193" t="s">
        <v>834</v>
      </c>
    </row>
    <row r="12" spans="1:46" s="192" customFormat="1" ht="22.95" customHeight="1" outlineLevel="1" x14ac:dyDescent="0.3">
      <c r="A12" s="192" t="s">
        <v>847</v>
      </c>
      <c r="B12" s="193" t="s">
        <v>835</v>
      </c>
    </row>
    <row r="13" spans="1:46" s="192" customFormat="1" ht="22.95" customHeight="1" outlineLevel="1" x14ac:dyDescent="0.3">
      <c r="A13" s="192" t="s">
        <v>848</v>
      </c>
      <c r="B13" s="193" t="s">
        <v>836</v>
      </c>
    </row>
    <row r="14" spans="1:46" s="192" customFormat="1" ht="27" customHeight="1" x14ac:dyDescent="0.3">
      <c r="A14" s="192" t="s">
        <v>844</v>
      </c>
      <c r="B14" s="193" t="s">
        <v>837</v>
      </c>
    </row>
    <row r="15" spans="1:46" s="192" customFormat="1" ht="22.95" customHeight="1" x14ac:dyDescent="0.3">
      <c r="A15" s="192" t="s">
        <v>849</v>
      </c>
      <c r="B15" s="193" t="s">
        <v>654</v>
      </c>
    </row>
    <row r="16" spans="1:46" s="192" customFormat="1" ht="22.95" customHeight="1" x14ac:dyDescent="0.3">
      <c r="A16" s="192" t="s">
        <v>850</v>
      </c>
      <c r="B16" s="193" t="s">
        <v>838</v>
      </c>
    </row>
    <row r="17" spans="1:4" s="192" customFormat="1" ht="22.95" customHeight="1" x14ac:dyDescent="0.3">
      <c r="A17" s="192" t="s">
        <v>851</v>
      </c>
      <c r="B17" s="193" t="s">
        <v>839</v>
      </c>
    </row>
    <row r="18" spans="1:4" s="192" customFormat="1" ht="22.95" customHeight="1" x14ac:dyDescent="0.3">
      <c r="A18" s="192" t="s">
        <v>852</v>
      </c>
      <c r="B18" s="193" t="s">
        <v>656</v>
      </c>
    </row>
    <row r="19" spans="1:4" s="192" customFormat="1" ht="22.95" customHeight="1" x14ac:dyDescent="0.3">
      <c r="A19" s="192" t="s">
        <v>853</v>
      </c>
      <c r="B19" s="193" t="s">
        <v>840</v>
      </c>
    </row>
    <row r="20" spans="1:4" s="192" customFormat="1" ht="20.399999999999999" customHeight="1" x14ac:dyDescent="0.3">
      <c r="A20" s="192" t="s">
        <v>774</v>
      </c>
      <c r="B20" s="193" t="s">
        <v>773</v>
      </c>
    </row>
    <row r="21" spans="1:4" outlineLevel="1" x14ac:dyDescent="0.3">
      <c r="A21" t="s">
        <v>775</v>
      </c>
      <c r="B21" s="155" t="s">
        <v>552</v>
      </c>
      <c r="C21" t="s">
        <v>770</v>
      </c>
      <c r="D21" t="s">
        <v>581</v>
      </c>
    </row>
    <row r="22" spans="1:4" outlineLevel="1" x14ac:dyDescent="0.3">
      <c r="C22" t="s">
        <v>771</v>
      </c>
      <c r="D22" t="s">
        <v>772</v>
      </c>
    </row>
    <row r="23" spans="1:4" outlineLevel="1" x14ac:dyDescent="0.3">
      <c r="A23" t="s">
        <v>776</v>
      </c>
      <c r="B23" s="155" t="s">
        <v>553</v>
      </c>
      <c r="C23" t="s">
        <v>770</v>
      </c>
      <c r="D23" t="s">
        <v>581</v>
      </c>
    </row>
    <row r="24" spans="1:4" outlineLevel="1" x14ac:dyDescent="0.3">
      <c r="C24" t="s">
        <v>771</v>
      </c>
      <c r="D24" t="s">
        <v>772</v>
      </c>
    </row>
    <row r="25" spans="1:4" x14ac:dyDescent="0.3">
      <c r="A25" t="s">
        <v>777</v>
      </c>
      <c r="B25" s="155" t="s">
        <v>780</v>
      </c>
    </row>
    <row r="26" spans="1:4" outlineLevel="1" x14ac:dyDescent="0.3">
      <c r="A26" t="s">
        <v>779</v>
      </c>
      <c r="B26" s="155" t="s">
        <v>554</v>
      </c>
      <c r="C26" t="s">
        <v>770</v>
      </c>
      <c r="D26" t="s">
        <v>581</v>
      </c>
    </row>
    <row r="27" spans="1:4" outlineLevel="1" x14ac:dyDescent="0.3">
      <c r="C27" t="s">
        <v>771</v>
      </c>
      <c r="D27" t="s">
        <v>772</v>
      </c>
    </row>
    <row r="28" spans="1:4" outlineLevel="1" x14ac:dyDescent="0.3">
      <c r="A28" t="s">
        <v>781</v>
      </c>
      <c r="B28" s="155" t="s">
        <v>751</v>
      </c>
      <c r="C28" t="s">
        <v>770</v>
      </c>
      <c r="D28" t="s">
        <v>581</v>
      </c>
    </row>
    <row r="29" spans="1:4" outlineLevel="1" x14ac:dyDescent="0.3">
      <c r="C29" t="s">
        <v>771</v>
      </c>
      <c r="D29" t="s">
        <v>772</v>
      </c>
    </row>
    <row r="30" spans="1:4" x14ac:dyDescent="0.3">
      <c r="A30" t="s">
        <v>778</v>
      </c>
      <c r="B30" s="155" t="s">
        <v>752</v>
      </c>
      <c r="C30" t="s">
        <v>770</v>
      </c>
      <c r="D30" t="s">
        <v>581</v>
      </c>
    </row>
    <row r="31" spans="1:4" outlineLevel="1" x14ac:dyDescent="0.3">
      <c r="C31" t="s">
        <v>771</v>
      </c>
      <c r="D31" t="s">
        <v>772</v>
      </c>
    </row>
    <row r="32" spans="1:4" outlineLevel="1" x14ac:dyDescent="0.3">
      <c r="A32" t="s">
        <v>816</v>
      </c>
      <c r="B32" s="155" t="s">
        <v>43</v>
      </c>
      <c r="C32" t="s">
        <v>770</v>
      </c>
      <c r="D32" t="s">
        <v>581</v>
      </c>
    </row>
    <row r="33" spans="2:4" outlineLevel="1" x14ac:dyDescent="0.3">
      <c r="C33" t="s">
        <v>771</v>
      </c>
      <c r="D33" t="s">
        <v>772</v>
      </c>
    </row>
    <row r="34" spans="2:4" outlineLevel="1" x14ac:dyDescent="0.3">
      <c r="B34" s="155" t="s">
        <v>753</v>
      </c>
      <c r="C34" t="s">
        <v>770</v>
      </c>
      <c r="D34" t="s">
        <v>581</v>
      </c>
    </row>
    <row r="35" spans="2:4" outlineLevel="1" x14ac:dyDescent="0.3">
      <c r="C35" t="s">
        <v>771</v>
      </c>
      <c r="D35" t="s">
        <v>772</v>
      </c>
    </row>
    <row r="36" spans="2:4" outlineLevel="1" x14ac:dyDescent="0.3">
      <c r="B36" s="155" t="s">
        <v>754</v>
      </c>
      <c r="C36" t="s">
        <v>770</v>
      </c>
      <c r="D36" t="s">
        <v>581</v>
      </c>
    </row>
    <row r="37" spans="2:4" outlineLevel="1" x14ac:dyDescent="0.3">
      <c r="C37" t="s">
        <v>771</v>
      </c>
      <c r="D37" t="s">
        <v>772</v>
      </c>
    </row>
    <row r="38" spans="2:4" outlineLevel="1" x14ac:dyDescent="0.3">
      <c r="B38" s="155" t="s">
        <v>755</v>
      </c>
      <c r="C38" t="s">
        <v>770</v>
      </c>
      <c r="D38" t="s">
        <v>581</v>
      </c>
    </row>
    <row r="39" spans="2:4" outlineLevel="1" x14ac:dyDescent="0.3">
      <c r="C39" t="s">
        <v>771</v>
      </c>
      <c r="D39" t="s">
        <v>772</v>
      </c>
    </row>
    <row r="40" spans="2:4" outlineLevel="1" x14ac:dyDescent="0.3">
      <c r="B40" s="155" t="s">
        <v>756</v>
      </c>
      <c r="C40" t="s">
        <v>770</v>
      </c>
      <c r="D40" t="s">
        <v>581</v>
      </c>
    </row>
    <row r="41" spans="2:4" outlineLevel="1" x14ac:dyDescent="0.3">
      <c r="C41" t="s">
        <v>771</v>
      </c>
      <c r="D41" t="s">
        <v>772</v>
      </c>
    </row>
    <row r="42" spans="2:4" outlineLevel="1" x14ac:dyDescent="0.3">
      <c r="B42" s="155" t="s">
        <v>757</v>
      </c>
      <c r="C42" t="s">
        <v>782</v>
      </c>
    </row>
    <row r="43" spans="2:4" outlineLevel="1" x14ac:dyDescent="0.3"/>
    <row r="44" spans="2:4" ht="13.95" customHeight="1" outlineLevel="1" x14ac:dyDescent="0.3">
      <c r="B44" s="155" t="s">
        <v>758</v>
      </c>
    </row>
    <row r="45" spans="2:4" ht="13.95" customHeight="1" outlineLevel="1" x14ac:dyDescent="0.3"/>
    <row r="46" spans="2:4" outlineLevel="1" x14ac:dyDescent="0.3">
      <c r="B46" s="155" t="s">
        <v>759</v>
      </c>
    </row>
    <row r="47" spans="2:4" outlineLevel="1" x14ac:dyDescent="0.3"/>
    <row r="48" spans="2:4" outlineLevel="1" x14ac:dyDescent="0.3">
      <c r="B48" s="155" t="s">
        <v>760</v>
      </c>
    </row>
    <row r="49" spans="1:3" outlineLevel="1" x14ac:dyDescent="0.3"/>
    <row r="50" spans="1:3" outlineLevel="1" x14ac:dyDescent="0.3">
      <c r="B50" s="155" t="s">
        <v>761</v>
      </c>
    </row>
    <row r="51" spans="1:3" outlineLevel="1" x14ac:dyDescent="0.3"/>
    <row r="52" spans="1:3" outlineLevel="1" x14ac:dyDescent="0.3">
      <c r="B52" s="155" t="s">
        <v>762</v>
      </c>
    </row>
    <row r="53" spans="1:3" x14ac:dyDescent="0.3">
      <c r="A53" t="s">
        <v>390</v>
      </c>
      <c r="B53" s="155" t="s">
        <v>514</v>
      </c>
    </row>
    <row r="54" spans="1:3" outlineLevel="1" x14ac:dyDescent="0.3">
      <c r="A54" t="s">
        <v>819</v>
      </c>
      <c r="B54" s="155" t="s">
        <v>17</v>
      </c>
      <c r="C54" t="s">
        <v>685</v>
      </c>
    </row>
    <row r="55" spans="1:3" outlineLevel="1" x14ac:dyDescent="0.3">
      <c r="C55" t="s">
        <v>770</v>
      </c>
    </row>
    <row r="56" spans="1:3" outlineLevel="1" x14ac:dyDescent="0.3">
      <c r="A56" t="s">
        <v>820</v>
      </c>
      <c r="B56" s="155" t="s">
        <v>817</v>
      </c>
      <c r="C56" t="s">
        <v>685</v>
      </c>
    </row>
    <row r="57" spans="1:3" outlineLevel="1" x14ac:dyDescent="0.3">
      <c r="C57" t="s">
        <v>770</v>
      </c>
    </row>
    <row r="58" spans="1:3" outlineLevel="1" x14ac:dyDescent="0.3">
      <c r="A58" t="s">
        <v>821</v>
      </c>
      <c r="B58" s="155" t="s">
        <v>20</v>
      </c>
      <c r="C58" t="s">
        <v>685</v>
      </c>
    </row>
    <row r="59" spans="1:3" outlineLevel="1" x14ac:dyDescent="0.3">
      <c r="C59" t="s">
        <v>770</v>
      </c>
    </row>
    <row r="60" spans="1:3" outlineLevel="1" x14ac:dyDescent="0.3">
      <c r="A60" t="s">
        <v>822</v>
      </c>
      <c r="B60" s="155" t="s">
        <v>22</v>
      </c>
      <c r="C60" t="s">
        <v>685</v>
      </c>
    </row>
    <row r="61" spans="1:3" outlineLevel="1" x14ac:dyDescent="0.3">
      <c r="C61" t="s">
        <v>770</v>
      </c>
    </row>
    <row r="62" spans="1:3" outlineLevel="1" x14ac:dyDescent="0.3">
      <c r="A62" t="s">
        <v>823</v>
      </c>
      <c r="B62" s="155" t="s">
        <v>818</v>
      </c>
      <c r="C62" t="s">
        <v>685</v>
      </c>
    </row>
    <row r="63" spans="1:3" outlineLevel="1" x14ac:dyDescent="0.3">
      <c r="C63" t="s">
        <v>770</v>
      </c>
    </row>
    <row r="64" spans="1:3" x14ac:dyDescent="0.3">
      <c r="A64" t="s">
        <v>680</v>
      </c>
      <c r="B64" s="155" t="s">
        <v>824</v>
      </c>
    </row>
    <row r="65" spans="1:2" outlineLevel="1" x14ac:dyDescent="0.3">
      <c r="A65" t="s">
        <v>825</v>
      </c>
      <c r="B65" s="155" t="s">
        <v>621</v>
      </c>
    </row>
    <row r="66" spans="1:2" outlineLevel="1" x14ac:dyDescent="0.3">
      <c r="A66" t="s">
        <v>826</v>
      </c>
      <c r="B66" s="155" t="s">
        <v>622</v>
      </c>
    </row>
    <row r="67" spans="1:2" x14ac:dyDescent="0.3">
      <c r="A67" t="s">
        <v>827</v>
      </c>
      <c r="B67" s="155" t="s">
        <v>828</v>
      </c>
    </row>
    <row r="69" spans="1:2" x14ac:dyDescent="0.3">
      <c r="B69" s="155" t="s">
        <v>856</v>
      </c>
    </row>
    <row r="70" spans="1:2" x14ac:dyDescent="0.3">
      <c r="B70" s="155" t="s">
        <v>855</v>
      </c>
    </row>
    <row r="71" spans="1:2" x14ac:dyDescent="0.3">
      <c r="B71" s="155" t="s">
        <v>854</v>
      </c>
    </row>
    <row r="72" spans="1:2" x14ac:dyDescent="0.3">
      <c r="B72" s="155" t="s">
        <v>857</v>
      </c>
    </row>
  </sheetData>
  <phoneticPr fontId="38" type="noConversion"/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1CA7D-0BC3-420C-B070-DB8461AE4437}">
  <dimension ref="A3:V91"/>
  <sheetViews>
    <sheetView topLeftCell="C1" zoomScale="122" zoomScaleNormal="120" workbookViewId="0">
      <selection activeCell="D11" sqref="D11"/>
    </sheetView>
  </sheetViews>
  <sheetFormatPr defaultColWidth="8.88671875" defaultRowHeight="13.8" outlineLevelRow="1" x14ac:dyDescent="0.3"/>
  <cols>
    <col min="1" max="1" width="9.6640625" style="217" bestFit="1" customWidth="1"/>
    <col min="2" max="2" width="17.6640625" style="229" bestFit="1" customWidth="1"/>
    <col min="3" max="3" width="11.6640625" style="229" customWidth="1"/>
    <col min="4" max="4" width="6.33203125" style="221" customWidth="1"/>
    <col min="5" max="5" width="7.6640625" style="221" bestFit="1" customWidth="1"/>
    <col min="6" max="6" width="8.88671875" style="221" customWidth="1"/>
    <col min="7" max="7" width="10.109375" style="221" customWidth="1"/>
    <col min="8" max="8" width="8.6640625" style="221" customWidth="1"/>
    <col min="9" max="9" width="11.5546875" style="221" bestFit="1" customWidth="1"/>
    <col min="10" max="10" width="10" style="221" customWidth="1"/>
    <col min="11" max="11" width="10.88671875" style="221" customWidth="1"/>
    <col min="12" max="12" width="13.44140625" style="221" customWidth="1"/>
    <col min="13" max="14" width="8.88671875" style="221"/>
    <col min="15" max="15" width="10.44140625" style="221" customWidth="1"/>
    <col min="16" max="16" width="14.33203125" style="221" customWidth="1"/>
    <col min="17" max="17" width="8.88671875" style="221"/>
    <col min="18" max="18" width="14.109375" style="221" customWidth="1"/>
    <col min="19" max="22" width="8.88671875" style="221"/>
    <col min="23" max="16384" width="8.88671875" style="229"/>
  </cols>
  <sheetData>
    <row r="3" spans="1:22" x14ac:dyDescent="0.3">
      <c r="K3" s="222" t="s">
        <v>597</v>
      </c>
      <c r="L3" s="223"/>
      <c r="M3" s="223"/>
      <c r="N3" s="224"/>
      <c r="O3" s="222" t="s">
        <v>595</v>
      </c>
      <c r="P3" s="224"/>
      <c r="Q3" s="222" t="s">
        <v>596</v>
      </c>
      <c r="R3" s="223"/>
      <c r="S3" s="223"/>
      <c r="T3" s="223"/>
      <c r="U3" s="223"/>
      <c r="V3" s="224"/>
    </row>
    <row r="4" spans="1:22" x14ac:dyDescent="0.3">
      <c r="E4" s="225" t="s">
        <v>585</v>
      </c>
      <c r="F4" s="226"/>
      <c r="G4" s="225" t="s">
        <v>584</v>
      </c>
      <c r="H4" s="226"/>
      <c r="I4" s="225" t="s">
        <v>579</v>
      </c>
      <c r="J4" s="226"/>
      <c r="K4" s="225" t="s">
        <v>586</v>
      </c>
      <c r="L4" s="226"/>
      <c r="M4" s="225" t="s">
        <v>588</v>
      </c>
      <c r="N4" s="226"/>
      <c r="O4" s="225" t="s">
        <v>589</v>
      </c>
      <c r="P4" s="226"/>
      <c r="Q4" s="225" t="s">
        <v>591</v>
      </c>
      <c r="R4" s="226"/>
      <c r="S4" s="225" t="s">
        <v>592</v>
      </c>
      <c r="T4" s="226"/>
      <c r="U4" s="225" t="s">
        <v>593</v>
      </c>
      <c r="V4" s="226"/>
    </row>
    <row r="5" spans="1:22" x14ac:dyDescent="0.3">
      <c r="E5" s="227"/>
      <c r="F5" s="228"/>
      <c r="G5" s="227"/>
      <c r="H5" s="228"/>
      <c r="I5" s="227" t="s">
        <v>583</v>
      </c>
      <c r="J5" s="228"/>
      <c r="K5" s="227" t="s">
        <v>587</v>
      </c>
      <c r="L5" s="228"/>
      <c r="M5" s="227"/>
      <c r="N5" s="228"/>
      <c r="O5" s="227" t="s">
        <v>590</v>
      </c>
      <c r="P5" s="228"/>
      <c r="Q5" s="227" t="s">
        <v>594</v>
      </c>
      <c r="R5" s="228"/>
      <c r="S5" s="227"/>
      <c r="T5" s="228"/>
      <c r="U5" s="227"/>
      <c r="V5" s="228"/>
    </row>
    <row r="6" spans="1:22" ht="28.2" customHeight="1" x14ac:dyDescent="0.3">
      <c r="C6" s="230"/>
      <c r="D6" s="231" t="s">
        <v>485</v>
      </c>
      <c r="E6" s="231" t="s">
        <v>441</v>
      </c>
      <c r="F6" s="231" t="s">
        <v>440</v>
      </c>
      <c r="G6" s="231" t="s">
        <v>441</v>
      </c>
      <c r="H6" s="231" t="s">
        <v>440</v>
      </c>
      <c r="I6" s="231" t="s">
        <v>441</v>
      </c>
      <c r="J6" s="231" t="s">
        <v>440</v>
      </c>
      <c r="K6" s="231" t="s">
        <v>441</v>
      </c>
      <c r="L6" s="231" t="s">
        <v>440</v>
      </c>
      <c r="M6" s="231" t="s">
        <v>441</v>
      </c>
      <c r="N6" s="231" t="s">
        <v>440</v>
      </c>
      <c r="O6" s="231" t="s">
        <v>441</v>
      </c>
      <c r="P6" s="231" t="s">
        <v>440</v>
      </c>
      <c r="Q6" s="231" t="s">
        <v>441</v>
      </c>
      <c r="R6" s="231" t="s">
        <v>440</v>
      </c>
      <c r="S6" s="231" t="s">
        <v>441</v>
      </c>
      <c r="T6" s="231" t="s">
        <v>440</v>
      </c>
      <c r="U6" s="231" t="s">
        <v>441</v>
      </c>
      <c r="V6" s="231" t="s">
        <v>440</v>
      </c>
    </row>
    <row r="7" spans="1:22" ht="15" customHeight="1" x14ac:dyDescent="0.3">
      <c r="A7" s="217" t="s">
        <v>442</v>
      </c>
      <c r="B7" s="217" t="s">
        <v>632</v>
      </c>
    </row>
    <row r="8" spans="1:22" ht="15" customHeight="1" x14ac:dyDescent="0.3">
      <c r="A8" s="217" t="s">
        <v>633</v>
      </c>
      <c r="B8" s="229" t="s">
        <v>517</v>
      </c>
    </row>
    <row r="9" spans="1:22" ht="15" hidden="1" customHeight="1" outlineLevel="1" x14ac:dyDescent="0.3">
      <c r="A9" s="217" t="s">
        <v>639</v>
      </c>
      <c r="B9" s="229" t="s">
        <v>641</v>
      </c>
    </row>
    <row r="10" spans="1:22" ht="15" hidden="1" customHeight="1" outlineLevel="1" x14ac:dyDescent="0.3">
      <c r="A10" s="217" t="s">
        <v>642</v>
      </c>
      <c r="B10" s="229" t="s">
        <v>643</v>
      </c>
    </row>
    <row r="11" spans="1:22" ht="15" customHeight="1" collapsed="1" x14ac:dyDescent="0.3">
      <c r="A11" s="217" t="s">
        <v>634</v>
      </c>
      <c r="B11" s="229" t="s">
        <v>635</v>
      </c>
    </row>
    <row r="12" spans="1:22" ht="15" hidden="1" customHeight="1" outlineLevel="1" x14ac:dyDescent="0.3">
      <c r="A12" s="217" t="s">
        <v>651</v>
      </c>
      <c r="B12" s="229" t="s">
        <v>654</v>
      </c>
    </row>
    <row r="13" spans="1:22" ht="15" hidden="1" customHeight="1" outlineLevel="1" x14ac:dyDescent="0.3">
      <c r="A13" s="217" t="s">
        <v>652</v>
      </c>
      <c r="B13" s="229" t="s">
        <v>655</v>
      </c>
    </row>
    <row r="14" spans="1:22" ht="15" hidden="1" customHeight="1" outlineLevel="1" x14ac:dyDescent="0.3">
      <c r="A14" s="217" t="s">
        <v>653</v>
      </c>
      <c r="B14" s="229" t="s">
        <v>656</v>
      </c>
    </row>
    <row r="15" spans="1:22" ht="15" customHeight="1" collapsed="1" x14ac:dyDescent="0.3">
      <c r="A15" s="217" t="s">
        <v>636</v>
      </c>
      <c r="B15" s="229" t="s">
        <v>638</v>
      </c>
    </row>
    <row r="16" spans="1:22" ht="15" hidden="1" customHeight="1" outlineLevel="1" x14ac:dyDescent="0.3">
      <c r="A16" s="217" t="s">
        <v>644</v>
      </c>
      <c r="B16" s="229" t="s">
        <v>645</v>
      </c>
    </row>
    <row r="17" spans="1:2" ht="15" hidden="1" customHeight="1" outlineLevel="1" x14ac:dyDescent="0.3">
      <c r="A17" s="217" t="s">
        <v>648</v>
      </c>
      <c r="B17" s="229" t="s">
        <v>649</v>
      </c>
    </row>
    <row r="18" spans="1:2" ht="15" hidden="1" customHeight="1" outlineLevel="1" x14ac:dyDescent="0.3">
      <c r="A18" s="217" t="s">
        <v>646</v>
      </c>
      <c r="B18" s="229" t="s">
        <v>647</v>
      </c>
    </row>
    <row r="19" spans="1:2" ht="15" customHeight="1" collapsed="1" x14ac:dyDescent="0.3">
      <c r="A19" s="217" t="s">
        <v>637</v>
      </c>
      <c r="B19" s="229" t="s">
        <v>640</v>
      </c>
    </row>
    <row r="20" spans="1:2" ht="15" hidden="1" customHeight="1" outlineLevel="1" x14ac:dyDescent="0.3">
      <c r="A20" s="217" t="s">
        <v>650</v>
      </c>
      <c r="B20" s="229" t="s">
        <v>657</v>
      </c>
    </row>
    <row r="21" spans="1:2" ht="15" hidden="1" customHeight="1" outlineLevel="1" x14ac:dyDescent="0.3">
      <c r="A21" s="217" t="s">
        <v>661</v>
      </c>
      <c r="B21" s="229" t="s">
        <v>658</v>
      </c>
    </row>
    <row r="22" spans="1:2" ht="15" hidden="1" customHeight="1" outlineLevel="1" x14ac:dyDescent="0.3">
      <c r="A22" s="217" t="s">
        <v>662</v>
      </c>
      <c r="B22" s="229" t="s">
        <v>659</v>
      </c>
    </row>
    <row r="23" spans="1:2" ht="15" hidden="1" customHeight="1" outlineLevel="1" x14ac:dyDescent="0.3">
      <c r="A23" s="217" t="s">
        <v>663</v>
      </c>
      <c r="B23" s="229" t="s">
        <v>665</v>
      </c>
    </row>
    <row r="24" spans="1:2" ht="15" hidden="1" customHeight="1" outlineLevel="1" x14ac:dyDescent="0.3">
      <c r="A24" s="217" t="s">
        <v>664</v>
      </c>
      <c r="B24" s="229" t="s">
        <v>666</v>
      </c>
    </row>
    <row r="25" spans="1:2" ht="15" hidden="1" customHeight="1" outlineLevel="1" x14ac:dyDescent="0.3">
      <c r="A25" s="217" t="s">
        <v>660</v>
      </c>
      <c r="B25" s="229" t="s">
        <v>667</v>
      </c>
    </row>
    <row r="26" spans="1:2" ht="15" hidden="1" customHeight="1" outlineLevel="1" x14ac:dyDescent="0.3">
      <c r="A26" s="217" t="s">
        <v>668</v>
      </c>
      <c r="B26" s="229" t="s">
        <v>669</v>
      </c>
    </row>
    <row r="27" spans="1:2" ht="15" hidden="1" customHeight="1" outlineLevel="1" x14ac:dyDescent="0.3">
      <c r="A27" s="217" t="s">
        <v>670</v>
      </c>
      <c r="B27" s="229" t="s">
        <v>671</v>
      </c>
    </row>
    <row r="28" spans="1:2" ht="15" hidden="1" customHeight="1" outlineLevel="1" x14ac:dyDescent="0.3">
      <c r="A28" s="217" t="s">
        <v>672</v>
      </c>
      <c r="B28" s="229" t="s">
        <v>674</v>
      </c>
    </row>
    <row r="29" spans="1:2" ht="15" hidden="1" customHeight="1" outlineLevel="1" x14ac:dyDescent="0.3">
      <c r="A29" s="217" t="s">
        <v>673</v>
      </c>
      <c r="B29" s="229" t="s">
        <v>675</v>
      </c>
    </row>
    <row r="30" spans="1:2" ht="15" hidden="1" customHeight="1" outlineLevel="1" x14ac:dyDescent="0.3">
      <c r="A30" s="217" t="s">
        <v>677</v>
      </c>
      <c r="B30" s="229" t="s">
        <v>676</v>
      </c>
    </row>
    <row r="31" spans="1:2" ht="15" hidden="1" customHeight="1" outlineLevel="1" x14ac:dyDescent="0.3">
      <c r="A31" s="217" t="s">
        <v>679</v>
      </c>
      <c r="B31" s="229" t="s">
        <v>678</v>
      </c>
    </row>
    <row r="32" spans="1:2" ht="15" customHeight="1" collapsed="1" x14ac:dyDescent="0.3">
      <c r="A32" s="232" t="s">
        <v>390</v>
      </c>
      <c r="B32" s="230" t="s">
        <v>389</v>
      </c>
    </row>
    <row r="33" spans="1:14" x14ac:dyDescent="0.3">
      <c r="A33" s="217" t="s">
        <v>392</v>
      </c>
      <c r="B33" s="229" t="s">
        <v>552</v>
      </c>
      <c r="C33" s="229" t="s">
        <v>985</v>
      </c>
      <c r="D33" s="221" t="s">
        <v>581</v>
      </c>
      <c r="E33" s="221">
        <v>400000</v>
      </c>
      <c r="F33" s="221">
        <v>500000</v>
      </c>
      <c r="G33" s="221">
        <v>150000</v>
      </c>
      <c r="H33" s="221">
        <v>200000</v>
      </c>
      <c r="I33" s="221">
        <v>200000</v>
      </c>
      <c r="J33" s="221">
        <v>300000</v>
      </c>
      <c r="L33" s="221">
        <v>550000</v>
      </c>
      <c r="N33" s="221">
        <v>550000</v>
      </c>
    </row>
    <row r="34" spans="1:14" hidden="1" outlineLevel="1" x14ac:dyDescent="0.3">
      <c r="C34" s="229" t="s">
        <v>580</v>
      </c>
      <c r="D34" s="221" t="s">
        <v>582</v>
      </c>
      <c r="E34" s="221">
        <f t="shared" ref="E34:F34" si="0">E33*50000/10^7</f>
        <v>2000</v>
      </c>
      <c r="F34" s="221">
        <f t="shared" si="0"/>
        <v>2500</v>
      </c>
      <c r="G34" s="221">
        <f>G33*50000/10^7</f>
        <v>750</v>
      </c>
      <c r="H34" s="221">
        <f>H33*50000/10^7</f>
        <v>1000</v>
      </c>
      <c r="I34" s="221">
        <f>I33*50000/10^7</f>
        <v>1000</v>
      </c>
      <c r="J34" s="221">
        <f>J33*50000/10^7</f>
        <v>1500</v>
      </c>
      <c r="L34" s="221">
        <f>L33*50000/10^7</f>
        <v>2750</v>
      </c>
      <c r="N34" s="221">
        <f>N33*50000/10^7</f>
        <v>2750</v>
      </c>
    </row>
    <row r="35" spans="1:14" hidden="1" outlineLevel="1" x14ac:dyDescent="0.3">
      <c r="A35" s="217" t="s">
        <v>598</v>
      </c>
    </row>
    <row r="36" spans="1:14" hidden="1" outlineLevel="1" x14ac:dyDescent="0.3">
      <c r="A36" s="217" t="s">
        <v>599</v>
      </c>
    </row>
    <row r="37" spans="1:14" hidden="1" outlineLevel="1" x14ac:dyDescent="0.3">
      <c r="A37" s="217" t="s">
        <v>600</v>
      </c>
    </row>
    <row r="38" spans="1:14" hidden="1" outlineLevel="1" x14ac:dyDescent="0.3">
      <c r="A38" s="217" t="s">
        <v>601</v>
      </c>
    </row>
    <row r="39" spans="1:14" hidden="1" outlineLevel="1" x14ac:dyDescent="0.3">
      <c r="A39" s="217" t="s">
        <v>602</v>
      </c>
    </row>
    <row r="40" spans="1:14" hidden="1" outlineLevel="1" x14ac:dyDescent="0.3">
      <c r="A40" s="217" t="s">
        <v>603</v>
      </c>
    </row>
    <row r="41" spans="1:14" hidden="1" outlineLevel="1" x14ac:dyDescent="0.3">
      <c r="A41" s="217" t="s">
        <v>604</v>
      </c>
    </row>
    <row r="42" spans="1:14" hidden="1" outlineLevel="1" x14ac:dyDescent="0.3">
      <c r="A42" s="217" t="s">
        <v>605</v>
      </c>
    </row>
    <row r="43" spans="1:14" hidden="1" outlineLevel="1" x14ac:dyDescent="0.3">
      <c r="A43" s="217" t="s">
        <v>606</v>
      </c>
    </row>
    <row r="44" spans="1:14" hidden="1" outlineLevel="1" x14ac:dyDescent="0.3">
      <c r="A44" s="217" t="s">
        <v>607</v>
      </c>
    </row>
    <row r="45" spans="1:14" hidden="1" outlineLevel="1" x14ac:dyDescent="0.3">
      <c r="A45" s="217" t="s">
        <v>608</v>
      </c>
    </row>
    <row r="46" spans="1:14" hidden="1" outlineLevel="1" x14ac:dyDescent="0.3">
      <c r="A46" s="217" t="s">
        <v>609</v>
      </c>
    </row>
    <row r="47" spans="1:14" hidden="1" outlineLevel="1" x14ac:dyDescent="0.3">
      <c r="A47" s="217" t="s">
        <v>610</v>
      </c>
    </row>
    <row r="48" spans="1:14" hidden="1" outlineLevel="1" x14ac:dyDescent="0.3">
      <c r="A48" s="217" t="s">
        <v>611</v>
      </c>
    </row>
    <row r="49" spans="1:3" hidden="1" outlineLevel="1" x14ac:dyDescent="0.3">
      <c r="A49" s="217" t="s">
        <v>612</v>
      </c>
    </row>
    <row r="50" spans="1:3" hidden="1" outlineLevel="1" x14ac:dyDescent="0.3">
      <c r="A50" s="217" t="s">
        <v>613</v>
      </c>
    </row>
    <row r="51" spans="1:3" hidden="1" outlineLevel="1" x14ac:dyDescent="0.3">
      <c r="A51" s="217" t="s">
        <v>614</v>
      </c>
    </row>
    <row r="52" spans="1:3" collapsed="1" x14ac:dyDescent="0.3">
      <c r="A52" s="217" t="s">
        <v>566</v>
      </c>
      <c r="B52" s="229" t="s">
        <v>553</v>
      </c>
      <c r="C52" s="229" t="s">
        <v>985</v>
      </c>
    </row>
    <row r="53" spans="1:3" x14ac:dyDescent="0.3">
      <c r="C53" s="229" t="s">
        <v>580</v>
      </c>
    </row>
    <row r="54" spans="1:3" x14ac:dyDescent="0.3">
      <c r="A54" s="217" t="s">
        <v>568</v>
      </c>
      <c r="B54" s="229" t="s">
        <v>554</v>
      </c>
      <c r="C54" s="229" t="s">
        <v>985</v>
      </c>
    </row>
    <row r="55" spans="1:3" x14ac:dyDescent="0.3">
      <c r="C55" s="229" t="s">
        <v>580</v>
      </c>
    </row>
    <row r="56" spans="1:3" x14ac:dyDescent="0.3">
      <c r="A56" s="217" t="s">
        <v>567</v>
      </c>
      <c r="B56" s="229" t="s">
        <v>564</v>
      </c>
      <c r="C56" s="229" t="s">
        <v>985</v>
      </c>
    </row>
    <row r="57" spans="1:3" hidden="1" outlineLevel="1" x14ac:dyDescent="0.3">
      <c r="C57" s="229" t="s">
        <v>580</v>
      </c>
    </row>
    <row r="58" spans="1:3" hidden="1" outlineLevel="1" x14ac:dyDescent="0.3"/>
    <row r="59" spans="1:3" hidden="1" outlineLevel="1" x14ac:dyDescent="0.3"/>
    <row r="60" spans="1:3" hidden="1" outlineLevel="1" x14ac:dyDescent="0.3"/>
    <row r="61" spans="1:3" hidden="1" outlineLevel="1" x14ac:dyDescent="0.3"/>
    <row r="62" spans="1:3" hidden="1" outlineLevel="1" x14ac:dyDescent="0.3"/>
    <row r="63" spans="1:3" hidden="1" outlineLevel="1" x14ac:dyDescent="0.3"/>
    <row r="64" spans="1:3" hidden="1" outlineLevel="1" x14ac:dyDescent="0.3"/>
    <row r="65" spans="1:3" hidden="1" outlineLevel="1" x14ac:dyDescent="0.3"/>
    <row r="66" spans="1:3" hidden="1" outlineLevel="1" x14ac:dyDescent="0.3">
      <c r="A66" s="217" t="s">
        <v>569</v>
      </c>
      <c r="B66" s="229" t="s">
        <v>555</v>
      </c>
      <c r="C66" s="229" t="s">
        <v>985</v>
      </c>
    </row>
    <row r="67" spans="1:3" hidden="1" outlineLevel="1" x14ac:dyDescent="0.3">
      <c r="C67" s="229" t="s">
        <v>580</v>
      </c>
    </row>
    <row r="68" spans="1:3" hidden="1" outlineLevel="1" x14ac:dyDescent="0.3">
      <c r="A68" s="217" t="s">
        <v>570</v>
      </c>
      <c r="B68" s="229" t="s">
        <v>556</v>
      </c>
      <c r="C68" s="229" t="s">
        <v>985</v>
      </c>
    </row>
    <row r="69" spans="1:3" hidden="1" outlineLevel="1" x14ac:dyDescent="0.3">
      <c r="C69" s="229" t="s">
        <v>580</v>
      </c>
    </row>
    <row r="70" spans="1:3" hidden="1" outlineLevel="1" x14ac:dyDescent="0.3">
      <c r="A70" s="217" t="s">
        <v>571</v>
      </c>
      <c r="B70" s="229" t="s">
        <v>557</v>
      </c>
      <c r="C70" s="229" t="s">
        <v>985</v>
      </c>
    </row>
    <row r="71" spans="1:3" hidden="1" outlineLevel="1" x14ac:dyDescent="0.3">
      <c r="C71" s="229" t="s">
        <v>580</v>
      </c>
    </row>
    <row r="72" spans="1:3" hidden="1" outlineLevel="1" x14ac:dyDescent="0.3">
      <c r="A72" s="217" t="s">
        <v>572</v>
      </c>
      <c r="B72" s="229" t="s">
        <v>558</v>
      </c>
      <c r="C72" s="229" t="s">
        <v>985</v>
      </c>
    </row>
    <row r="73" spans="1:3" hidden="1" outlineLevel="1" x14ac:dyDescent="0.3">
      <c r="C73" s="229" t="s">
        <v>580</v>
      </c>
    </row>
    <row r="74" spans="1:3" hidden="1" outlineLevel="1" x14ac:dyDescent="0.3">
      <c r="A74" s="217" t="s">
        <v>573</v>
      </c>
      <c r="B74" s="229" t="s">
        <v>559</v>
      </c>
      <c r="C74" s="229" t="s">
        <v>985</v>
      </c>
    </row>
    <row r="75" spans="1:3" hidden="1" outlineLevel="1" x14ac:dyDescent="0.3">
      <c r="C75" s="229" t="s">
        <v>580</v>
      </c>
    </row>
    <row r="76" spans="1:3" hidden="1" outlineLevel="1" x14ac:dyDescent="0.3">
      <c r="A76" s="217" t="s">
        <v>574</v>
      </c>
      <c r="B76" s="229" t="s">
        <v>560</v>
      </c>
      <c r="C76" s="229" t="s">
        <v>985</v>
      </c>
    </row>
    <row r="77" spans="1:3" hidden="1" outlineLevel="1" x14ac:dyDescent="0.3">
      <c r="C77" s="229" t="s">
        <v>580</v>
      </c>
    </row>
    <row r="78" spans="1:3" hidden="1" outlineLevel="1" x14ac:dyDescent="0.3">
      <c r="A78" s="217" t="s">
        <v>575</v>
      </c>
      <c r="B78" s="229" t="s">
        <v>561</v>
      </c>
      <c r="C78" s="229" t="s">
        <v>985</v>
      </c>
    </row>
    <row r="79" spans="1:3" hidden="1" outlineLevel="1" x14ac:dyDescent="0.3">
      <c r="C79" s="229" t="s">
        <v>580</v>
      </c>
    </row>
    <row r="80" spans="1:3" hidden="1" outlineLevel="1" x14ac:dyDescent="0.3">
      <c r="A80" s="217" t="s">
        <v>576</v>
      </c>
      <c r="B80" s="229" t="s">
        <v>565</v>
      </c>
      <c r="C80" s="229" t="s">
        <v>985</v>
      </c>
    </row>
    <row r="81" spans="1:3" hidden="1" outlineLevel="1" x14ac:dyDescent="0.3">
      <c r="C81" s="229" t="s">
        <v>580</v>
      </c>
    </row>
    <row r="82" spans="1:3" hidden="1" outlineLevel="1" x14ac:dyDescent="0.3">
      <c r="A82" s="217" t="s">
        <v>577</v>
      </c>
      <c r="B82" s="229" t="s">
        <v>562</v>
      </c>
      <c r="C82" s="229" t="s">
        <v>985</v>
      </c>
    </row>
    <row r="83" spans="1:3" hidden="1" outlineLevel="1" x14ac:dyDescent="0.3">
      <c r="C83" s="229" t="s">
        <v>580</v>
      </c>
    </row>
    <row r="84" spans="1:3" hidden="1" outlineLevel="1" x14ac:dyDescent="0.3">
      <c r="A84" s="217" t="s">
        <v>578</v>
      </c>
      <c r="B84" s="229" t="s">
        <v>563</v>
      </c>
      <c r="C84" s="229" t="s">
        <v>985</v>
      </c>
    </row>
    <row r="85" spans="1:3" hidden="1" outlineLevel="1" x14ac:dyDescent="0.3">
      <c r="C85" s="229" t="s">
        <v>580</v>
      </c>
    </row>
    <row r="86" spans="1:3" collapsed="1" x14ac:dyDescent="0.3">
      <c r="A86" s="217" t="s">
        <v>680</v>
      </c>
      <c r="B86" s="229" t="s">
        <v>514</v>
      </c>
    </row>
    <row r="87" spans="1:3" x14ac:dyDescent="0.3">
      <c r="A87" s="217" t="s">
        <v>681</v>
      </c>
      <c r="B87" s="229" t="s">
        <v>20</v>
      </c>
    </row>
    <row r="88" spans="1:3" x14ac:dyDescent="0.3">
      <c r="A88" s="217" t="s">
        <v>684</v>
      </c>
      <c r="B88" s="229" t="s">
        <v>685</v>
      </c>
    </row>
    <row r="89" spans="1:3" x14ac:dyDescent="0.3">
      <c r="A89" s="217" t="s">
        <v>686</v>
      </c>
    </row>
    <row r="90" spans="1:3" x14ac:dyDescent="0.3">
      <c r="A90" s="217" t="s">
        <v>682</v>
      </c>
    </row>
    <row r="91" spans="1:3" x14ac:dyDescent="0.3">
      <c r="A91" s="217" t="s">
        <v>683</v>
      </c>
    </row>
  </sheetData>
  <phoneticPr fontId="38" type="noConversion"/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88"/>
  <sheetViews>
    <sheetView zoomScaleNormal="100" workbookViewId="0">
      <selection activeCell="A6" sqref="A6"/>
    </sheetView>
  </sheetViews>
  <sheetFormatPr defaultColWidth="8.6640625" defaultRowHeight="14.4" x14ac:dyDescent="0.3"/>
  <cols>
    <col min="1" max="1" width="6" customWidth="1"/>
    <col min="2" max="2" width="7" customWidth="1"/>
    <col min="3" max="3" width="10" customWidth="1"/>
    <col min="4" max="4" width="22" customWidth="1"/>
    <col min="5" max="5" width="12" customWidth="1"/>
    <col min="6" max="6" width="16" customWidth="1"/>
    <col min="7" max="7" width="46" style="14" customWidth="1"/>
    <col min="8" max="8" width="12" customWidth="1"/>
    <col min="9" max="9" width="11" customWidth="1"/>
    <col min="10" max="10" width="14" customWidth="1"/>
    <col min="11" max="11" width="11" customWidth="1"/>
    <col min="12" max="12" width="11.6640625" customWidth="1"/>
    <col min="13" max="18" width="10.44140625" customWidth="1"/>
    <col min="19" max="19" width="11" customWidth="1"/>
    <col min="20" max="20" width="10" customWidth="1"/>
    <col min="21" max="21" width="15" customWidth="1"/>
  </cols>
  <sheetData>
    <row r="1" spans="1:21" ht="31.5" customHeight="1" x14ac:dyDescent="0.3">
      <c r="A1" s="378" t="s">
        <v>51</v>
      </c>
      <c r="B1" s="378"/>
      <c r="C1" s="378"/>
      <c r="D1" s="378"/>
      <c r="E1" s="378"/>
      <c r="F1" s="378"/>
      <c r="G1" s="378"/>
      <c r="H1" s="378"/>
      <c r="I1" s="378"/>
      <c r="J1" s="378"/>
      <c r="K1" s="378"/>
      <c r="L1" s="378"/>
      <c r="M1" s="378"/>
      <c r="N1" s="378"/>
      <c r="O1" s="378"/>
      <c r="P1" s="378"/>
      <c r="Q1" s="378"/>
      <c r="R1" s="378"/>
      <c r="S1" s="378"/>
      <c r="T1" s="378"/>
      <c r="U1" s="378"/>
    </row>
    <row r="2" spans="1:21" ht="18" customHeight="1" x14ac:dyDescent="0.3">
      <c r="A2" s="379" t="s">
        <v>52</v>
      </c>
      <c r="B2" s="379"/>
      <c r="C2" s="379"/>
      <c r="D2" s="379"/>
      <c r="E2" s="379"/>
      <c r="F2" s="379"/>
      <c r="G2" s="379"/>
      <c r="H2" s="379"/>
      <c r="I2" s="379"/>
      <c r="J2" s="379"/>
      <c r="K2" s="379"/>
      <c r="L2" s="379"/>
      <c r="M2" s="379"/>
      <c r="N2" s="379"/>
      <c r="O2" s="379"/>
      <c r="P2" s="379"/>
      <c r="Q2" s="379"/>
      <c r="R2" s="379"/>
      <c r="S2" s="379"/>
      <c r="T2" s="379"/>
      <c r="U2" s="379"/>
    </row>
    <row r="3" spans="1:21" ht="6" customHeight="1" x14ac:dyDescent="0.3"/>
    <row r="4" spans="1:21" ht="33" customHeight="1" x14ac:dyDescent="0.3">
      <c r="A4" s="380" t="s">
        <v>53</v>
      </c>
      <c r="B4" s="380"/>
      <c r="C4" s="380"/>
      <c r="D4" s="380"/>
      <c r="E4" s="380"/>
      <c r="F4" s="380"/>
      <c r="G4" s="380"/>
      <c r="H4" s="380" t="s">
        <v>54</v>
      </c>
      <c r="I4" s="380"/>
      <c r="J4" s="380"/>
      <c r="K4" s="380" t="s">
        <v>55</v>
      </c>
      <c r="L4" s="380"/>
      <c r="M4" s="380" t="s">
        <v>56</v>
      </c>
      <c r="N4" s="380"/>
      <c r="O4" s="380"/>
      <c r="P4" s="380"/>
      <c r="Q4" s="380"/>
      <c r="R4" s="380"/>
      <c r="S4" s="380" t="s">
        <v>57</v>
      </c>
      <c r="T4" s="380"/>
      <c r="U4" s="380"/>
    </row>
    <row r="5" spans="1:21" ht="33.75" customHeight="1" x14ac:dyDescent="0.3">
      <c r="A5" s="103" t="s">
        <v>58</v>
      </c>
      <c r="B5" s="104" t="s">
        <v>13</v>
      </c>
      <c r="C5" s="104" t="s">
        <v>59</v>
      </c>
      <c r="D5" s="104" t="s">
        <v>60</v>
      </c>
      <c r="E5" s="104" t="s">
        <v>61</v>
      </c>
      <c r="F5" s="104" t="s">
        <v>29</v>
      </c>
      <c r="G5" s="104" t="s">
        <v>62</v>
      </c>
      <c r="H5" s="104" t="s">
        <v>63</v>
      </c>
      <c r="I5" s="104" t="s">
        <v>64</v>
      </c>
      <c r="J5" s="104" t="s">
        <v>65</v>
      </c>
      <c r="K5" s="104" t="s">
        <v>66</v>
      </c>
      <c r="L5" s="104" t="s">
        <v>67</v>
      </c>
      <c r="M5" s="104" t="s">
        <v>68</v>
      </c>
      <c r="N5" s="104" t="s">
        <v>69</v>
      </c>
      <c r="O5" s="104" t="s">
        <v>70</v>
      </c>
      <c r="P5" s="104" t="s">
        <v>71</v>
      </c>
      <c r="Q5" s="104" t="s">
        <v>72</v>
      </c>
      <c r="R5" s="104" t="s">
        <v>73</v>
      </c>
      <c r="S5" s="104" t="s">
        <v>74</v>
      </c>
      <c r="T5" s="104" t="s">
        <v>75</v>
      </c>
      <c r="U5" s="105" t="s">
        <v>11</v>
      </c>
    </row>
    <row r="6" spans="1:21" ht="36" customHeight="1" x14ac:dyDescent="0.3">
      <c r="A6" s="106">
        <v>5</v>
      </c>
      <c r="B6" s="16" t="s">
        <v>76</v>
      </c>
      <c r="C6" s="16"/>
      <c r="D6" s="17" t="s">
        <v>91</v>
      </c>
      <c r="E6" s="18" t="s">
        <v>20</v>
      </c>
      <c r="F6" s="18" t="s">
        <v>47</v>
      </c>
      <c r="G6" s="19" t="s">
        <v>95</v>
      </c>
      <c r="H6" s="20" t="s">
        <v>93</v>
      </c>
      <c r="I6" s="21" t="s">
        <v>85</v>
      </c>
      <c r="J6" s="18" t="s">
        <v>94</v>
      </c>
      <c r="K6" s="22">
        <v>9.8000000000000007</v>
      </c>
      <c r="L6" s="23">
        <v>6.8</v>
      </c>
      <c r="M6" s="23">
        <v>4.41</v>
      </c>
      <c r="N6" s="23">
        <v>4.0199999999999996</v>
      </c>
      <c r="O6" s="22">
        <v>5.98</v>
      </c>
      <c r="P6" s="23">
        <v>5.49</v>
      </c>
      <c r="Q6" s="23">
        <v>7.28</v>
      </c>
      <c r="R6" s="23">
        <v>4.21</v>
      </c>
      <c r="S6" s="24">
        <v>5.23166666666667</v>
      </c>
      <c r="T6" s="25">
        <v>1.52277777777778</v>
      </c>
      <c r="U6" s="107" t="s">
        <v>15</v>
      </c>
    </row>
    <row r="7" spans="1:21" ht="35.25" customHeight="1" x14ac:dyDescent="0.3">
      <c r="A7" s="108">
        <v>7</v>
      </c>
      <c r="B7" s="27"/>
      <c r="C7" s="28"/>
      <c r="D7" s="29" t="s">
        <v>96</v>
      </c>
      <c r="E7" s="30" t="s">
        <v>20</v>
      </c>
      <c r="F7" s="30" t="s">
        <v>48</v>
      </c>
      <c r="G7" s="31" t="s">
        <v>99</v>
      </c>
      <c r="H7" s="32" t="s">
        <v>80</v>
      </c>
      <c r="I7" s="33" t="s">
        <v>85</v>
      </c>
      <c r="J7" s="34" t="s">
        <v>98</v>
      </c>
      <c r="K7" s="35">
        <v>81.77</v>
      </c>
      <c r="L7" s="36">
        <v>90</v>
      </c>
      <c r="M7" s="37">
        <v>96.3</v>
      </c>
      <c r="N7" s="36">
        <v>95.264583333333306</v>
      </c>
      <c r="O7" s="37">
        <v>96.3</v>
      </c>
      <c r="P7" s="37">
        <v>95.630769230769204</v>
      </c>
      <c r="Q7" s="36">
        <v>95.37</v>
      </c>
      <c r="R7" s="36">
        <v>96.15</v>
      </c>
      <c r="S7" s="38">
        <v>95.835892094017098</v>
      </c>
      <c r="T7" s="39">
        <v>1.70909988991702</v>
      </c>
      <c r="U7" s="109" t="s">
        <v>15</v>
      </c>
    </row>
    <row r="8" spans="1:21" ht="36" customHeight="1" x14ac:dyDescent="0.3">
      <c r="A8" s="110">
        <v>12</v>
      </c>
      <c r="B8" s="41" t="s">
        <v>104</v>
      </c>
      <c r="C8" s="41">
        <v>7448</v>
      </c>
      <c r="D8" s="17" t="s">
        <v>117</v>
      </c>
      <c r="E8" s="42" t="s">
        <v>20</v>
      </c>
      <c r="F8" s="42" t="s">
        <v>118</v>
      </c>
      <c r="G8" s="43" t="s">
        <v>119</v>
      </c>
      <c r="H8" s="44" t="s">
        <v>80</v>
      </c>
      <c r="I8" s="41" t="s">
        <v>85</v>
      </c>
      <c r="J8" s="44" t="s">
        <v>120</v>
      </c>
      <c r="K8" s="45">
        <v>77.25</v>
      </c>
      <c r="L8" s="46">
        <v>85</v>
      </c>
      <c r="M8" s="47">
        <v>95.1</v>
      </c>
      <c r="N8" s="46">
        <v>92.24</v>
      </c>
      <c r="O8" s="47">
        <v>87.6</v>
      </c>
      <c r="P8" s="47">
        <v>86.11</v>
      </c>
      <c r="Q8" s="46">
        <v>96.05</v>
      </c>
      <c r="R8" s="46">
        <v>90.87</v>
      </c>
      <c r="S8" s="48">
        <v>91.328333333333305</v>
      </c>
      <c r="T8" s="49">
        <v>1.8165591397849501</v>
      </c>
      <c r="U8" s="111" t="s">
        <v>15</v>
      </c>
    </row>
    <row r="9" spans="1:21" ht="27" customHeight="1" x14ac:dyDescent="0.3">
      <c r="A9" s="108">
        <v>13</v>
      </c>
      <c r="B9" s="26" t="s">
        <v>104</v>
      </c>
      <c r="C9" s="26">
        <v>7448</v>
      </c>
      <c r="D9" s="29" t="s">
        <v>117</v>
      </c>
      <c r="E9" s="34" t="s">
        <v>20</v>
      </c>
      <c r="F9" s="30" t="s">
        <v>118</v>
      </c>
      <c r="G9" s="30" t="s">
        <v>121</v>
      </c>
      <c r="H9" s="30" t="s">
        <v>80</v>
      </c>
      <c r="I9" s="33" t="s">
        <v>85</v>
      </c>
      <c r="J9" s="32" t="s">
        <v>120</v>
      </c>
      <c r="K9" s="37">
        <v>78.260000000000005</v>
      </c>
      <c r="L9" s="35">
        <v>85</v>
      </c>
      <c r="M9" s="35">
        <v>91.61</v>
      </c>
      <c r="N9" s="37">
        <v>94.07</v>
      </c>
      <c r="O9" s="35">
        <v>95.7</v>
      </c>
      <c r="P9" s="35">
        <v>95.96</v>
      </c>
      <c r="Q9" s="37">
        <v>96.46</v>
      </c>
      <c r="R9" s="37">
        <v>97.61</v>
      </c>
      <c r="S9" s="38">
        <v>95.234999999999999</v>
      </c>
      <c r="T9" s="39">
        <v>2.5185459940652799</v>
      </c>
      <c r="U9" s="112" t="s">
        <v>15</v>
      </c>
    </row>
    <row r="10" spans="1:21" ht="41.25" customHeight="1" x14ac:dyDescent="0.3">
      <c r="A10" s="110">
        <v>25</v>
      </c>
      <c r="B10" s="40" t="s">
        <v>104</v>
      </c>
      <c r="C10" s="40">
        <v>4382</v>
      </c>
      <c r="D10" s="17" t="s">
        <v>143</v>
      </c>
      <c r="E10" s="44" t="s">
        <v>20</v>
      </c>
      <c r="F10" s="42" t="s">
        <v>41</v>
      </c>
      <c r="G10" s="42" t="s">
        <v>144</v>
      </c>
      <c r="H10" s="42" t="s">
        <v>116</v>
      </c>
      <c r="I10" s="50" t="s">
        <v>145</v>
      </c>
      <c r="J10" s="43" t="s">
        <v>146</v>
      </c>
      <c r="K10" s="47">
        <v>56</v>
      </c>
      <c r="L10" s="45">
        <v>46</v>
      </c>
      <c r="M10" s="45">
        <v>32</v>
      </c>
      <c r="N10" s="45">
        <v>14</v>
      </c>
      <c r="O10" s="46">
        <v>45</v>
      </c>
      <c r="P10" s="46"/>
      <c r="Q10" s="47">
        <v>80</v>
      </c>
      <c r="R10" s="47">
        <v>50</v>
      </c>
      <c r="S10" s="51">
        <v>44.2</v>
      </c>
      <c r="T10" s="52">
        <v>1.18</v>
      </c>
      <c r="U10" s="113" t="s">
        <v>15</v>
      </c>
    </row>
    <row r="11" spans="1:21" ht="41.25" customHeight="1" x14ac:dyDescent="0.3">
      <c r="A11" s="108">
        <v>26</v>
      </c>
      <c r="B11" s="53" t="s">
        <v>104</v>
      </c>
      <c r="C11" s="53">
        <v>4382</v>
      </c>
      <c r="D11" s="29" t="s">
        <v>143</v>
      </c>
      <c r="E11" s="30" t="s">
        <v>20</v>
      </c>
      <c r="F11" s="30" t="s">
        <v>41</v>
      </c>
      <c r="G11" s="30" t="s">
        <v>147</v>
      </c>
      <c r="H11" s="30" t="s">
        <v>116</v>
      </c>
      <c r="I11" s="26" t="s">
        <v>145</v>
      </c>
      <c r="J11" s="54" t="s">
        <v>146</v>
      </c>
      <c r="K11" s="55">
        <v>54</v>
      </c>
      <c r="L11" s="56">
        <v>44</v>
      </c>
      <c r="M11" s="36">
        <v>44</v>
      </c>
      <c r="N11" s="37">
        <v>34</v>
      </c>
      <c r="O11" s="37">
        <v>36</v>
      </c>
      <c r="P11" s="35">
        <v>33</v>
      </c>
      <c r="Q11" s="37">
        <v>47</v>
      </c>
      <c r="R11" s="37">
        <v>55</v>
      </c>
      <c r="S11" s="57">
        <v>41.5</v>
      </c>
      <c r="T11" s="58">
        <v>1.25</v>
      </c>
      <c r="U11" s="114" t="s">
        <v>15</v>
      </c>
    </row>
    <row r="12" spans="1:21" ht="41.25" customHeight="1" x14ac:dyDescent="0.3">
      <c r="A12" s="110">
        <v>28</v>
      </c>
      <c r="B12" s="50" t="s">
        <v>104</v>
      </c>
      <c r="C12" s="50">
        <v>4382</v>
      </c>
      <c r="D12" s="17" t="s">
        <v>143</v>
      </c>
      <c r="E12" s="42" t="s">
        <v>20</v>
      </c>
      <c r="F12" s="44" t="s">
        <v>41</v>
      </c>
      <c r="G12" s="59" t="s">
        <v>149</v>
      </c>
      <c r="H12" s="59" t="s">
        <v>116</v>
      </c>
      <c r="I12" s="60" t="s">
        <v>145</v>
      </c>
      <c r="J12" s="17" t="s">
        <v>146</v>
      </c>
      <c r="K12" s="61">
        <v>74</v>
      </c>
      <c r="L12" s="61">
        <v>50</v>
      </c>
      <c r="M12" s="45">
        <v>21</v>
      </c>
      <c r="N12" s="47">
        <v>28</v>
      </c>
      <c r="O12" s="47">
        <v>55</v>
      </c>
      <c r="P12" s="45">
        <v>19</v>
      </c>
      <c r="Q12" s="47">
        <v>57</v>
      </c>
      <c r="R12" s="45">
        <v>50</v>
      </c>
      <c r="S12" s="62">
        <v>38.3333333333333</v>
      </c>
      <c r="T12" s="63">
        <v>1.4861111111111101</v>
      </c>
      <c r="U12" s="115" t="s">
        <v>15</v>
      </c>
    </row>
    <row r="13" spans="1:21" ht="27" customHeight="1" x14ac:dyDescent="0.3">
      <c r="A13" s="108">
        <v>36</v>
      </c>
      <c r="B13" s="53" t="s">
        <v>76</v>
      </c>
      <c r="C13" s="26">
        <v>45833</v>
      </c>
      <c r="D13" s="29" t="s">
        <v>172</v>
      </c>
      <c r="E13" s="34" t="s">
        <v>22</v>
      </c>
      <c r="F13" s="30" t="s">
        <v>44</v>
      </c>
      <c r="G13" s="64" t="s">
        <v>173</v>
      </c>
      <c r="H13" s="65" t="s">
        <v>80</v>
      </c>
      <c r="I13" s="66" t="s">
        <v>170</v>
      </c>
      <c r="J13" s="64" t="s">
        <v>174</v>
      </c>
      <c r="K13" s="67">
        <v>8894</v>
      </c>
      <c r="L13" s="67">
        <v>2261</v>
      </c>
      <c r="M13" s="68">
        <v>859</v>
      </c>
      <c r="N13" s="68">
        <v>528</v>
      </c>
      <c r="O13" s="68">
        <v>550</v>
      </c>
      <c r="P13" s="69">
        <v>371</v>
      </c>
      <c r="Q13" s="68">
        <v>390</v>
      </c>
      <c r="R13" s="70">
        <v>586</v>
      </c>
      <c r="S13" s="71">
        <v>547.33333333333303</v>
      </c>
      <c r="T13" s="72">
        <v>1.2583546911905099</v>
      </c>
      <c r="U13" s="116" t="s">
        <v>15</v>
      </c>
    </row>
    <row r="14" spans="1:21" ht="27" customHeight="1" x14ac:dyDescent="0.3">
      <c r="A14" s="110">
        <v>42</v>
      </c>
      <c r="B14" s="73" t="s">
        <v>104</v>
      </c>
      <c r="C14" s="74">
        <v>2483</v>
      </c>
      <c r="D14" s="17" t="s">
        <v>188</v>
      </c>
      <c r="E14" s="44" t="s">
        <v>20</v>
      </c>
      <c r="F14" s="44" t="s">
        <v>189</v>
      </c>
      <c r="G14" s="43" t="s">
        <v>190</v>
      </c>
      <c r="H14" s="42" t="s">
        <v>116</v>
      </c>
      <c r="I14" s="41" t="s">
        <v>85</v>
      </c>
      <c r="J14" s="43" t="s">
        <v>191</v>
      </c>
      <c r="K14" s="46">
        <v>12.92</v>
      </c>
      <c r="L14" s="45">
        <v>12.5</v>
      </c>
      <c r="M14" s="45">
        <v>12.1</v>
      </c>
      <c r="N14" s="45">
        <v>12.42</v>
      </c>
      <c r="O14" s="47">
        <v>12.74</v>
      </c>
      <c r="P14" s="23">
        <v>12.44</v>
      </c>
      <c r="Q14" s="45">
        <v>12.56</v>
      </c>
      <c r="R14" s="46">
        <v>12.01</v>
      </c>
      <c r="S14" s="75">
        <v>12.3783333333333</v>
      </c>
      <c r="T14" s="52">
        <v>1.28968253968254</v>
      </c>
      <c r="U14" s="113" t="s">
        <v>15</v>
      </c>
    </row>
    <row r="15" spans="1:21" ht="27" customHeight="1" x14ac:dyDescent="0.3">
      <c r="A15" s="117">
        <v>45</v>
      </c>
      <c r="B15" s="53" t="s">
        <v>104</v>
      </c>
      <c r="C15" s="33">
        <v>6095</v>
      </c>
      <c r="D15" s="64" t="s">
        <v>200</v>
      </c>
      <c r="E15" s="32" t="s">
        <v>20</v>
      </c>
      <c r="F15" s="34" t="s">
        <v>201</v>
      </c>
      <c r="G15" s="34" t="s">
        <v>202</v>
      </c>
      <c r="H15" s="34" t="s">
        <v>116</v>
      </c>
      <c r="I15" s="26" t="s">
        <v>203</v>
      </c>
      <c r="J15" s="30" t="s">
        <v>90</v>
      </c>
      <c r="K15" s="35">
        <v>41.13</v>
      </c>
      <c r="L15" s="37">
        <v>12</v>
      </c>
      <c r="M15" s="36">
        <v>11.35</v>
      </c>
      <c r="N15" s="36">
        <v>11.59</v>
      </c>
      <c r="O15" s="35">
        <v>9.8000000000000007</v>
      </c>
      <c r="P15" s="37">
        <v>13.36</v>
      </c>
      <c r="Q15" s="37">
        <v>14.36</v>
      </c>
      <c r="R15" s="37">
        <v>10.49</v>
      </c>
      <c r="S15" s="38">
        <v>11.824999999999999</v>
      </c>
      <c r="T15" s="76">
        <v>1.0060075523515299</v>
      </c>
      <c r="U15" s="112" t="s">
        <v>15</v>
      </c>
    </row>
    <row r="16" spans="1:21" ht="41.25" customHeight="1" x14ac:dyDescent="0.3">
      <c r="A16" s="118">
        <v>46</v>
      </c>
      <c r="B16" s="41" t="s">
        <v>76</v>
      </c>
      <c r="C16" s="41">
        <v>6323</v>
      </c>
      <c r="D16" s="77" t="s">
        <v>204</v>
      </c>
      <c r="E16" s="43" t="s">
        <v>20</v>
      </c>
      <c r="F16" s="43" t="s">
        <v>205</v>
      </c>
      <c r="G16" s="78" t="s">
        <v>206</v>
      </c>
      <c r="H16" s="79" t="s">
        <v>116</v>
      </c>
      <c r="I16" s="40" t="s">
        <v>194</v>
      </c>
      <c r="J16" s="42" t="s">
        <v>207</v>
      </c>
      <c r="K16" s="46">
        <v>38.75</v>
      </c>
      <c r="L16" s="47">
        <v>35</v>
      </c>
      <c r="M16" s="46">
        <v>20</v>
      </c>
      <c r="N16" s="46">
        <v>23</v>
      </c>
      <c r="O16" s="46">
        <v>24</v>
      </c>
      <c r="P16" s="45">
        <v>29</v>
      </c>
      <c r="Q16" s="45">
        <v>28</v>
      </c>
      <c r="R16" s="45">
        <v>25</v>
      </c>
      <c r="S16" s="48">
        <v>24.8333333333333</v>
      </c>
      <c r="T16" s="52">
        <v>3.7111111111111099</v>
      </c>
      <c r="U16" s="113" t="s">
        <v>15</v>
      </c>
    </row>
    <row r="17" spans="1:21" ht="27" customHeight="1" x14ac:dyDescent="0.3">
      <c r="A17" s="108">
        <v>49</v>
      </c>
      <c r="B17" s="80" t="s">
        <v>76</v>
      </c>
      <c r="C17" s="80">
        <v>48356</v>
      </c>
      <c r="D17" s="65" t="s">
        <v>214</v>
      </c>
      <c r="E17" s="30" t="s">
        <v>22</v>
      </c>
      <c r="F17" s="30" t="s">
        <v>215</v>
      </c>
      <c r="G17" s="81" t="s">
        <v>216</v>
      </c>
      <c r="H17" s="82" t="s">
        <v>116</v>
      </c>
      <c r="I17" s="83" t="s">
        <v>194</v>
      </c>
      <c r="J17" s="54" t="s">
        <v>164</v>
      </c>
      <c r="K17" s="55">
        <v>34</v>
      </c>
      <c r="L17" s="55">
        <v>25</v>
      </c>
      <c r="M17" s="55">
        <v>22</v>
      </c>
      <c r="N17" s="55">
        <v>22</v>
      </c>
      <c r="O17" s="55">
        <v>22</v>
      </c>
      <c r="P17" s="56">
        <v>20</v>
      </c>
      <c r="Q17" s="56">
        <v>21</v>
      </c>
      <c r="R17" s="56">
        <v>22</v>
      </c>
      <c r="S17" s="84">
        <v>21.5</v>
      </c>
      <c r="T17" s="58">
        <v>1.3888888888888899</v>
      </c>
      <c r="U17" s="114" t="s">
        <v>15</v>
      </c>
    </row>
    <row r="18" spans="1:21" x14ac:dyDescent="0.3">
      <c r="A18" s="119">
        <v>51</v>
      </c>
      <c r="B18" s="60" t="s">
        <v>104</v>
      </c>
      <c r="C18" s="60">
        <v>8216</v>
      </c>
      <c r="D18" s="59" t="s">
        <v>222</v>
      </c>
      <c r="E18" s="59" t="s">
        <v>20</v>
      </c>
      <c r="F18" s="59" t="s">
        <v>35</v>
      </c>
      <c r="G18" s="59" t="s">
        <v>223</v>
      </c>
      <c r="H18" s="17" t="s">
        <v>116</v>
      </c>
      <c r="I18" s="85" t="s">
        <v>85</v>
      </c>
      <c r="J18" s="17" t="s">
        <v>224</v>
      </c>
      <c r="K18" s="61">
        <v>3.1</v>
      </c>
      <c r="L18" s="61">
        <v>2</v>
      </c>
      <c r="M18" s="61">
        <v>0.93194135630906105</v>
      </c>
      <c r="N18" s="61">
        <v>1.4</v>
      </c>
      <c r="O18" s="61">
        <v>1.7</v>
      </c>
      <c r="P18" s="61">
        <v>2.1</v>
      </c>
      <c r="Q18" s="61">
        <v>2.2000000000000002</v>
      </c>
      <c r="R18" s="61">
        <v>2.1</v>
      </c>
      <c r="S18" s="62">
        <v>1.73865689271818</v>
      </c>
      <c r="T18" s="63">
        <v>1.23758464298348</v>
      </c>
      <c r="U18" s="115" t="s">
        <v>15</v>
      </c>
    </row>
    <row r="19" spans="1:21" ht="27" customHeight="1" x14ac:dyDescent="0.3">
      <c r="A19" s="120">
        <v>63</v>
      </c>
      <c r="B19" s="86" t="s">
        <v>104</v>
      </c>
      <c r="C19" s="86">
        <v>50618</v>
      </c>
      <c r="D19" s="29" t="s">
        <v>267</v>
      </c>
      <c r="E19" s="29" t="s">
        <v>22</v>
      </c>
      <c r="F19" s="29" t="s">
        <v>31</v>
      </c>
      <c r="G19" s="29" t="s">
        <v>268</v>
      </c>
      <c r="H19" s="29" t="s">
        <v>116</v>
      </c>
      <c r="I19" s="86" t="s">
        <v>85</v>
      </c>
      <c r="J19" s="29" t="s">
        <v>129</v>
      </c>
      <c r="K19" s="87">
        <v>15.03</v>
      </c>
      <c r="L19" s="87">
        <v>10</v>
      </c>
      <c r="M19" s="87">
        <v>8.14</v>
      </c>
      <c r="N19" s="87">
        <v>6.3</v>
      </c>
      <c r="O19" s="87">
        <v>6.8</v>
      </c>
      <c r="P19" s="87">
        <v>5.5</v>
      </c>
      <c r="Q19" s="87">
        <v>11.18</v>
      </c>
      <c r="R19" s="87">
        <v>7.63</v>
      </c>
      <c r="S19" s="88">
        <v>7.5916666666666703</v>
      </c>
      <c r="T19" s="89">
        <v>1.47879390324718</v>
      </c>
      <c r="U19" s="121" t="s">
        <v>15</v>
      </c>
    </row>
    <row r="20" spans="1:21" ht="27" customHeight="1" x14ac:dyDescent="0.3">
      <c r="A20" s="122">
        <v>17</v>
      </c>
      <c r="B20" s="85" t="s">
        <v>104</v>
      </c>
      <c r="C20" s="85">
        <v>48956</v>
      </c>
      <c r="D20" s="17" t="s">
        <v>124</v>
      </c>
      <c r="E20" s="17" t="s">
        <v>22</v>
      </c>
      <c r="F20" s="17" t="s">
        <v>39</v>
      </c>
      <c r="G20" s="17" t="s">
        <v>128</v>
      </c>
      <c r="H20" s="17" t="s">
        <v>80</v>
      </c>
      <c r="I20" s="85" t="s">
        <v>85</v>
      </c>
      <c r="J20" s="17" t="s">
        <v>129</v>
      </c>
      <c r="K20" s="61">
        <v>86.53</v>
      </c>
      <c r="L20" s="61">
        <v>90</v>
      </c>
      <c r="M20" s="61">
        <v>87.19</v>
      </c>
      <c r="N20" s="61">
        <v>90.3</v>
      </c>
      <c r="O20" s="61">
        <v>90.17</v>
      </c>
      <c r="P20" s="61"/>
      <c r="Q20" s="61">
        <v>90.89</v>
      </c>
      <c r="R20" s="61"/>
      <c r="S20" s="62">
        <v>89.637500000000003</v>
      </c>
      <c r="T20" s="63">
        <v>0.89553314121037497</v>
      </c>
      <c r="U20" s="115" t="s">
        <v>18</v>
      </c>
    </row>
    <row r="21" spans="1:21" ht="27" customHeight="1" x14ac:dyDescent="0.3">
      <c r="A21" s="120">
        <v>19</v>
      </c>
      <c r="B21" s="86" t="s">
        <v>76</v>
      </c>
      <c r="C21" s="86">
        <v>49269</v>
      </c>
      <c r="D21" s="29" t="s">
        <v>130</v>
      </c>
      <c r="E21" s="29" t="s">
        <v>22</v>
      </c>
      <c r="F21" s="29" t="s">
        <v>37</v>
      </c>
      <c r="G21" s="29" t="s">
        <v>133</v>
      </c>
      <c r="H21" s="29" t="s">
        <v>80</v>
      </c>
      <c r="I21" s="86" t="s">
        <v>85</v>
      </c>
      <c r="J21" s="29" t="s">
        <v>132</v>
      </c>
      <c r="K21" s="87">
        <v>80.23</v>
      </c>
      <c r="L21" s="87">
        <v>85</v>
      </c>
      <c r="M21" s="87">
        <v>76.27</v>
      </c>
      <c r="N21" s="87">
        <v>84.1</v>
      </c>
      <c r="O21" s="87">
        <v>79.73</v>
      </c>
      <c r="P21" s="87">
        <v>83.02</v>
      </c>
      <c r="Q21" s="87">
        <v>82.88</v>
      </c>
      <c r="R21" s="87">
        <v>90.060666666666705</v>
      </c>
      <c r="S21" s="88">
        <v>82.676777777777801</v>
      </c>
      <c r="T21" s="89">
        <v>0.512951316095972</v>
      </c>
      <c r="U21" s="121" t="s">
        <v>18</v>
      </c>
    </row>
    <row r="22" spans="1:21" ht="27" customHeight="1" x14ac:dyDescent="0.3">
      <c r="A22" s="122">
        <v>21</v>
      </c>
      <c r="B22" s="85" t="s">
        <v>104</v>
      </c>
      <c r="C22" s="85">
        <v>7313</v>
      </c>
      <c r="D22" s="17" t="s">
        <v>135</v>
      </c>
      <c r="E22" s="17" t="s">
        <v>20</v>
      </c>
      <c r="F22" s="17" t="s">
        <v>33</v>
      </c>
      <c r="G22" s="90" t="s">
        <v>136</v>
      </c>
      <c r="H22" s="17" t="s">
        <v>80</v>
      </c>
      <c r="I22" s="85" t="s">
        <v>137</v>
      </c>
      <c r="J22" s="17" t="s">
        <v>90</v>
      </c>
      <c r="K22" s="61">
        <v>3.01</v>
      </c>
      <c r="L22" s="61">
        <v>3.6</v>
      </c>
      <c r="M22" s="61">
        <v>3.31</v>
      </c>
      <c r="N22" s="61">
        <v>3.25</v>
      </c>
      <c r="O22" s="61">
        <v>3.41</v>
      </c>
      <c r="P22" s="61">
        <v>3.47</v>
      </c>
      <c r="Q22" s="61">
        <v>3.38</v>
      </c>
      <c r="R22" s="61">
        <v>3.5</v>
      </c>
      <c r="S22" s="62">
        <v>3.3866666666666698</v>
      </c>
      <c r="T22" s="63">
        <v>0.63841807909604498</v>
      </c>
      <c r="U22" s="115" t="s">
        <v>18</v>
      </c>
    </row>
    <row r="23" spans="1:21" ht="41.25" customHeight="1" x14ac:dyDescent="0.3">
      <c r="A23" s="120">
        <v>27</v>
      </c>
      <c r="B23" s="86" t="s">
        <v>104</v>
      </c>
      <c r="C23" s="86">
        <v>4382</v>
      </c>
      <c r="D23" s="29" t="s">
        <v>143</v>
      </c>
      <c r="E23" s="29" t="s">
        <v>20</v>
      </c>
      <c r="F23" s="29" t="s">
        <v>41</v>
      </c>
      <c r="G23" s="29" t="s">
        <v>148</v>
      </c>
      <c r="H23" s="29" t="s">
        <v>116</v>
      </c>
      <c r="I23" s="86" t="s">
        <v>145</v>
      </c>
      <c r="J23" s="29" t="s">
        <v>146</v>
      </c>
      <c r="K23" s="87">
        <v>81</v>
      </c>
      <c r="L23" s="87">
        <v>60</v>
      </c>
      <c r="M23" s="87">
        <v>62</v>
      </c>
      <c r="N23" s="87">
        <v>50</v>
      </c>
      <c r="O23" s="87">
        <v>65</v>
      </c>
      <c r="P23" s="87">
        <v>89</v>
      </c>
      <c r="Q23" s="87">
        <v>91</v>
      </c>
      <c r="R23" s="87">
        <v>34</v>
      </c>
      <c r="S23" s="88">
        <v>65.1666666666667</v>
      </c>
      <c r="T23" s="89">
        <v>0.75396825396825395</v>
      </c>
      <c r="U23" s="121" t="s">
        <v>18</v>
      </c>
    </row>
    <row r="24" spans="1:21" ht="27" customHeight="1" x14ac:dyDescent="0.3">
      <c r="A24" s="122">
        <v>30</v>
      </c>
      <c r="B24" s="85" t="s">
        <v>76</v>
      </c>
      <c r="C24" s="85"/>
      <c r="D24" s="17" t="s">
        <v>155</v>
      </c>
      <c r="E24" s="17" t="s">
        <v>20</v>
      </c>
      <c r="F24" s="17" t="s">
        <v>156</v>
      </c>
      <c r="G24" s="17" t="s">
        <v>157</v>
      </c>
      <c r="H24" s="17" t="s">
        <v>80</v>
      </c>
      <c r="I24" s="85" t="s">
        <v>158</v>
      </c>
      <c r="J24" s="17" t="s">
        <v>159</v>
      </c>
      <c r="K24" s="61">
        <v>44958</v>
      </c>
      <c r="L24" s="61">
        <v>53949</v>
      </c>
      <c r="M24" s="61">
        <v>59458</v>
      </c>
      <c r="N24" s="61">
        <v>49434</v>
      </c>
      <c r="O24" s="61">
        <v>41040</v>
      </c>
      <c r="P24" s="61">
        <v>52788</v>
      </c>
      <c r="Q24" s="61">
        <v>58582</v>
      </c>
      <c r="R24" s="61">
        <v>54972</v>
      </c>
      <c r="S24" s="62">
        <v>52712.333333333299</v>
      </c>
      <c r="T24" s="63">
        <v>0.86245504764023295</v>
      </c>
      <c r="U24" s="115" t="s">
        <v>18</v>
      </c>
    </row>
    <row r="25" spans="1:21" ht="41.25" customHeight="1" x14ac:dyDescent="0.3">
      <c r="A25" s="120">
        <v>43</v>
      </c>
      <c r="B25" s="86" t="s">
        <v>76</v>
      </c>
      <c r="C25" s="86">
        <v>49096</v>
      </c>
      <c r="D25" s="29" t="s">
        <v>192</v>
      </c>
      <c r="E25" s="29" t="s">
        <v>22</v>
      </c>
      <c r="F25" s="29" t="s">
        <v>31</v>
      </c>
      <c r="G25" s="29" t="s">
        <v>193</v>
      </c>
      <c r="H25" s="29" t="s">
        <v>116</v>
      </c>
      <c r="I25" s="86" t="s">
        <v>194</v>
      </c>
      <c r="J25" s="29" t="s">
        <v>195</v>
      </c>
      <c r="K25" s="87">
        <v>4251</v>
      </c>
      <c r="L25" s="87">
        <v>3700</v>
      </c>
      <c r="M25" s="87"/>
      <c r="N25" s="87">
        <v>3775.8361994174802</v>
      </c>
      <c r="O25" s="87">
        <v>4010.5587546464599</v>
      </c>
      <c r="P25" s="87">
        <v>3850.3860190814298</v>
      </c>
      <c r="Q25" s="87">
        <v>3920.7314942026501</v>
      </c>
      <c r="R25" s="87">
        <v>3837.6282014777198</v>
      </c>
      <c r="S25" s="88">
        <v>3879.02813376515</v>
      </c>
      <c r="T25" s="89">
        <v>0.67508505668757202</v>
      </c>
      <c r="U25" s="121" t="s">
        <v>18</v>
      </c>
    </row>
    <row r="26" spans="1:21" ht="27" customHeight="1" x14ac:dyDescent="0.3">
      <c r="A26" s="122">
        <v>44</v>
      </c>
      <c r="B26" s="85" t="s">
        <v>104</v>
      </c>
      <c r="C26" s="85">
        <v>3413</v>
      </c>
      <c r="D26" s="17" t="s">
        <v>196</v>
      </c>
      <c r="E26" s="17" t="s">
        <v>20</v>
      </c>
      <c r="F26" s="17" t="s">
        <v>197</v>
      </c>
      <c r="G26" s="17" t="s">
        <v>198</v>
      </c>
      <c r="H26" s="17" t="s">
        <v>116</v>
      </c>
      <c r="I26" s="85" t="s">
        <v>199</v>
      </c>
      <c r="J26" s="17" t="s">
        <v>129</v>
      </c>
      <c r="K26" s="61">
        <v>6951</v>
      </c>
      <c r="L26" s="61">
        <v>6700</v>
      </c>
      <c r="M26" s="61">
        <v>6845</v>
      </c>
      <c r="N26" s="61">
        <v>6963</v>
      </c>
      <c r="O26" s="61">
        <v>6703</v>
      </c>
      <c r="P26" s="61">
        <v>6664</v>
      </c>
      <c r="Q26" s="61">
        <v>6647</v>
      </c>
      <c r="R26" s="61">
        <v>6635</v>
      </c>
      <c r="S26" s="62">
        <v>6742.8333333333303</v>
      </c>
      <c r="T26" s="63">
        <v>0.82934926958831501</v>
      </c>
      <c r="U26" s="115" t="s">
        <v>18</v>
      </c>
    </row>
    <row r="27" spans="1:21" ht="27" customHeight="1" x14ac:dyDescent="0.3">
      <c r="A27" s="120">
        <v>47</v>
      </c>
      <c r="B27" s="86" t="s">
        <v>76</v>
      </c>
      <c r="C27" s="86">
        <v>10952</v>
      </c>
      <c r="D27" s="29" t="s">
        <v>208</v>
      </c>
      <c r="E27" s="29" t="s">
        <v>20</v>
      </c>
      <c r="F27" s="29" t="s">
        <v>35</v>
      </c>
      <c r="G27" s="29" t="s">
        <v>209</v>
      </c>
      <c r="H27" s="29" t="s">
        <v>116</v>
      </c>
      <c r="I27" s="86" t="s">
        <v>210</v>
      </c>
      <c r="J27" s="29" t="s">
        <v>211</v>
      </c>
      <c r="K27" s="87">
        <v>7.04</v>
      </c>
      <c r="L27" s="87">
        <v>6.8</v>
      </c>
      <c r="M27" s="87">
        <v>6.41</v>
      </c>
      <c r="N27" s="87">
        <v>6.7</v>
      </c>
      <c r="O27" s="87">
        <v>6.98</v>
      </c>
      <c r="P27" s="87">
        <v>7.12</v>
      </c>
      <c r="Q27" s="87">
        <v>7.1</v>
      </c>
      <c r="R27" s="87"/>
      <c r="S27" s="88">
        <v>6.8620000000000001</v>
      </c>
      <c r="T27" s="89">
        <v>0.74166666666666603</v>
      </c>
      <c r="U27" s="121" t="s">
        <v>18</v>
      </c>
    </row>
    <row r="28" spans="1:21" ht="27" customHeight="1" x14ac:dyDescent="0.3">
      <c r="A28" s="122">
        <v>50</v>
      </c>
      <c r="B28" s="85" t="s">
        <v>104</v>
      </c>
      <c r="C28" s="85">
        <v>5612</v>
      </c>
      <c r="D28" s="17" t="s">
        <v>217</v>
      </c>
      <c r="E28" s="17" t="s">
        <v>20</v>
      </c>
      <c r="F28" s="17" t="s">
        <v>218</v>
      </c>
      <c r="G28" s="17" t="s">
        <v>219</v>
      </c>
      <c r="H28" s="17" t="s">
        <v>116</v>
      </c>
      <c r="I28" s="85" t="s">
        <v>220</v>
      </c>
      <c r="J28" s="17" t="s">
        <v>221</v>
      </c>
      <c r="K28" s="61">
        <v>1591</v>
      </c>
      <c r="L28" s="61">
        <v>600</v>
      </c>
      <c r="M28" s="61">
        <v>1637</v>
      </c>
      <c r="N28" s="61">
        <v>1108</v>
      </c>
      <c r="O28" s="61">
        <v>77</v>
      </c>
      <c r="P28" s="61">
        <v>84</v>
      </c>
      <c r="Q28" s="61"/>
      <c r="R28" s="61"/>
      <c r="S28" s="62">
        <v>726.5</v>
      </c>
      <c r="T28" s="63">
        <v>0.87235116044399597</v>
      </c>
      <c r="U28" s="115" t="s">
        <v>18</v>
      </c>
    </row>
    <row r="29" spans="1:21" ht="27" customHeight="1" x14ac:dyDescent="0.3">
      <c r="A29" s="120">
        <v>1</v>
      </c>
      <c r="B29" s="86" t="s">
        <v>76</v>
      </c>
      <c r="C29" s="86">
        <v>16923</v>
      </c>
      <c r="D29" s="29" t="s">
        <v>77</v>
      </c>
      <c r="E29" s="29" t="s">
        <v>17</v>
      </c>
      <c r="F29" s="29" t="s">
        <v>78</v>
      </c>
      <c r="G29" s="29" t="s">
        <v>79</v>
      </c>
      <c r="H29" s="29" t="s">
        <v>80</v>
      </c>
      <c r="I29" s="86" t="s">
        <v>81</v>
      </c>
      <c r="J29" s="29" t="s">
        <v>82</v>
      </c>
      <c r="K29" s="87">
        <v>37.42</v>
      </c>
      <c r="L29" s="87">
        <v>43</v>
      </c>
      <c r="M29" s="87">
        <v>28.76</v>
      </c>
      <c r="N29" s="87">
        <v>42.01</v>
      </c>
      <c r="O29" s="87">
        <v>30.72</v>
      </c>
      <c r="P29" s="87">
        <v>42.75</v>
      </c>
      <c r="Q29" s="87">
        <v>39.423076923076898</v>
      </c>
      <c r="R29" s="87">
        <v>42.6666666666667</v>
      </c>
      <c r="S29" s="88">
        <v>37.721623931623903</v>
      </c>
      <c r="T29" s="89">
        <v>5.4054468032962301E-2</v>
      </c>
      <c r="U29" s="121" t="s">
        <v>21</v>
      </c>
    </row>
    <row r="30" spans="1:21" ht="27" customHeight="1" x14ac:dyDescent="0.3">
      <c r="A30" s="122">
        <v>2</v>
      </c>
      <c r="B30" s="85" t="s">
        <v>76</v>
      </c>
      <c r="C30" s="85">
        <v>16407</v>
      </c>
      <c r="D30" s="17" t="s">
        <v>83</v>
      </c>
      <c r="E30" s="17" t="s">
        <v>17</v>
      </c>
      <c r="F30" s="17" t="s">
        <v>37</v>
      </c>
      <c r="G30" s="17" t="s">
        <v>84</v>
      </c>
      <c r="H30" s="17" t="s">
        <v>80</v>
      </c>
      <c r="I30" s="85" t="s">
        <v>85</v>
      </c>
      <c r="J30" s="17" t="s">
        <v>86</v>
      </c>
      <c r="K30" s="61">
        <v>83.48</v>
      </c>
      <c r="L30" s="61">
        <v>90</v>
      </c>
      <c r="M30" s="61">
        <v>84.26</v>
      </c>
      <c r="N30" s="61">
        <v>82.75</v>
      </c>
      <c r="O30" s="61"/>
      <c r="P30" s="61"/>
      <c r="Q30" s="61"/>
      <c r="R30" s="61"/>
      <c r="S30" s="62">
        <v>83.504999999999995</v>
      </c>
      <c r="T30" s="63">
        <v>3.83435582821955E-3</v>
      </c>
      <c r="U30" s="115" t="s">
        <v>21</v>
      </c>
    </row>
    <row r="31" spans="1:21" ht="27" customHeight="1" x14ac:dyDescent="0.3">
      <c r="A31" s="120">
        <v>3</v>
      </c>
      <c r="B31" s="86" t="s">
        <v>76</v>
      </c>
      <c r="C31" s="86">
        <v>4</v>
      </c>
      <c r="D31" s="29" t="s">
        <v>87</v>
      </c>
      <c r="E31" s="29" t="s">
        <v>20</v>
      </c>
      <c r="F31" s="29" t="s">
        <v>46</v>
      </c>
      <c r="G31" s="29" t="s">
        <v>88</v>
      </c>
      <c r="H31" s="29" t="s">
        <v>80</v>
      </c>
      <c r="I31" s="86" t="s">
        <v>89</v>
      </c>
      <c r="J31" s="29" t="s">
        <v>90</v>
      </c>
      <c r="K31" s="87">
        <v>0.78</v>
      </c>
      <c r="L31" s="87">
        <v>0.83</v>
      </c>
      <c r="M31" s="87">
        <v>0.79</v>
      </c>
      <c r="N31" s="87">
        <v>0.73</v>
      </c>
      <c r="O31" s="87">
        <v>0.80298469298245601</v>
      </c>
      <c r="P31" s="87">
        <v>0.77706842105263196</v>
      </c>
      <c r="Q31" s="87">
        <v>0.79189894736842104</v>
      </c>
      <c r="R31" s="87">
        <v>0.73794201754386002</v>
      </c>
      <c r="S31" s="88">
        <v>0.77164901315789503</v>
      </c>
      <c r="T31" s="89">
        <v>-0.167019736842105</v>
      </c>
      <c r="U31" s="121" t="s">
        <v>21</v>
      </c>
    </row>
    <row r="32" spans="1:21" ht="41.25" customHeight="1" x14ac:dyDescent="0.3">
      <c r="A32" s="122">
        <v>4</v>
      </c>
      <c r="B32" s="85" t="s">
        <v>76</v>
      </c>
      <c r="C32" s="85">
        <v>10818</v>
      </c>
      <c r="D32" s="17" t="s">
        <v>91</v>
      </c>
      <c r="E32" s="17" t="s">
        <v>20</v>
      </c>
      <c r="F32" s="17" t="s">
        <v>47</v>
      </c>
      <c r="G32" s="17" t="s">
        <v>92</v>
      </c>
      <c r="H32" s="17" t="s">
        <v>93</v>
      </c>
      <c r="I32" s="85" t="s">
        <v>85</v>
      </c>
      <c r="J32" s="17" t="s">
        <v>94</v>
      </c>
      <c r="K32" s="61">
        <v>12.7</v>
      </c>
      <c r="L32" s="61">
        <v>9.6999999999999993</v>
      </c>
      <c r="M32" s="61">
        <v>9.65</v>
      </c>
      <c r="N32" s="61">
        <v>9.64</v>
      </c>
      <c r="O32" s="61">
        <v>10.26</v>
      </c>
      <c r="P32" s="61">
        <v>13.26</v>
      </c>
      <c r="Q32" s="61">
        <v>13.84</v>
      </c>
      <c r="R32" s="61">
        <v>12.47</v>
      </c>
      <c r="S32" s="62">
        <v>11.52</v>
      </c>
      <c r="T32" s="63">
        <v>0.39333333333333398</v>
      </c>
      <c r="U32" s="115" t="s">
        <v>21</v>
      </c>
    </row>
    <row r="33" spans="1:21" ht="27" customHeight="1" x14ac:dyDescent="0.3">
      <c r="A33" s="120">
        <v>6</v>
      </c>
      <c r="B33" s="86" t="s">
        <v>76</v>
      </c>
      <c r="C33" s="86">
        <v>4939</v>
      </c>
      <c r="D33" s="29" t="s">
        <v>96</v>
      </c>
      <c r="E33" s="29" t="s">
        <v>20</v>
      </c>
      <c r="F33" s="29" t="s">
        <v>48</v>
      </c>
      <c r="G33" s="29" t="s">
        <v>97</v>
      </c>
      <c r="H33" s="29" t="s">
        <v>80</v>
      </c>
      <c r="I33" s="86" t="s">
        <v>85</v>
      </c>
      <c r="J33" s="29" t="s">
        <v>98</v>
      </c>
      <c r="K33" s="87">
        <v>84.48</v>
      </c>
      <c r="L33" s="87">
        <v>90</v>
      </c>
      <c r="M33" s="87">
        <v>97.037037037036995</v>
      </c>
      <c r="N33" s="87">
        <v>81.4583333333333</v>
      </c>
      <c r="O33" s="87">
        <v>73.8888888888889</v>
      </c>
      <c r="P33" s="87">
        <v>86.923076923076906</v>
      </c>
      <c r="Q33" s="87">
        <v>86.5555555555556</v>
      </c>
      <c r="R33" s="87">
        <v>93.32</v>
      </c>
      <c r="S33" s="88">
        <v>86.530481956315299</v>
      </c>
      <c r="T33" s="89">
        <v>0.37146412252088201</v>
      </c>
      <c r="U33" s="121" t="s">
        <v>21</v>
      </c>
    </row>
    <row r="34" spans="1:21" ht="27" customHeight="1" x14ac:dyDescent="0.3">
      <c r="A34" s="122">
        <v>8</v>
      </c>
      <c r="B34" s="85" t="s">
        <v>76</v>
      </c>
      <c r="C34" s="85">
        <v>464</v>
      </c>
      <c r="D34" s="17" t="s">
        <v>100</v>
      </c>
      <c r="E34" s="17" t="s">
        <v>20</v>
      </c>
      <c r="F34" s="17" t="s">
        <v>101</v>
      </c>
      <c r="G34" s="17" t="s">
        <v>102</v>
      </c>
      <c r="H34" s="17" t="s">
        <v>93</v>
      </c>
      <c r="I34" s="85" t="s">
        <v>85</v>
      </c>
      <c r="J34" s="17" t="s">
        <v>103</v>
      </c>
      <c r="K34" s="61">
        <v>299634</v>
      </c>
      <c r="L34" s="61">
        <v>284652</v>
      </c>
      <c r="M34" s="61">
        <v>308018.8</v>
      </c>
      <c r="N34" s="61">
        <v>384278.8</v>
      </c>
      <c r="O34" s="61">
        <v>345679.5</v>
      </c>
      <c r="P34" s="61">
        <v>309111.7</v>
      </c>
      <c r="Q34" s="61">
        <v>266104</v>
      </c>
      <c r="R34" s="61">
        <v>255905.3</v>
      </c>
      <c r="S34" s="62">
        <v>311516.34999999998</v>
      </c>
      <c r="T34" s="63">
        <v>-0.79310839674276001</v>
      </c>
      <c r="U34" s="115" t="s">
        <v>21</v>
      </c>
    </row>
    <row r="35" spans="1:21" ht="33.75" customHeight="1" x14ac:dyDescent="0.3">
      <c r="A35" s="120">
        <v>9</v>
      </c>
      <c r="B35" s="86" t="s">
        <v>104</v>
      </c>
      <c r="C35" s="86">
        <v>6363</v>
      </c>
      <c r="D35" s="29" t="s">
        <v>105</v>
      </c>
      <c r="E35" s="29" t="s">
        <v>20</v>
      </c>
      <c r="F35" s="29" t="s">
        <v>106</v>
      </c>
      <c r="G35" s="29" t="s">
        <v>107</v>
      </c>
      <c r="H35" s="29" t="s">
        <v>93</v>
      </c>
      <c r="I35" s="86" t="s">
        <v>108</v>
      </c>
      <c r="J35" s="29" t="s">
        <v>109</v>
      </c>
      <c r="K35" s="91">
        <v>9.36</v>
      </c>
      <c r="L35" s="91">
        <v>8</v>
      </c>
      <c r="M35" s="91">
        <v>7.99</v>
      </c>
      <c r="N35" s="91">
        <v>8.3800000000000008</v>
      </c>
      <c r="O35" s="91">
        <v>8.8800000000000008</v>
      </c>
      <c r="P35" s="91">
        <v>9.4600000000000009</v>
      </c>
      <c r="Q35" s="91">
        <v>9.6</v>
      </c>
      <c r="R35" s="91">
        <v>11.14</v>
      </c>
      <c r="S35" s="92">
        <v>9.2416666666666707</v>
      </c>
      <c r="T35" s="89">
        <v>8.7009803921567902E-2</v>
      </c>
      <c r="U35" s="121" t="s">
        <v>21</v>
      </c>
    </row>
    <row r="36" spans="1:21" ht="33.75" customHeight="1" x14ac:dyDescent="0.3">
      <c r="A36" s="122">
        <v>10</v>
      </c>
      <c r="B36" s="85" t="s">
        <v>104</v>
      </c>
      <c r="C36" s="85">
        <v>7855</v>
      </c>
      <c r="D36" s="17" t="s">
        <v>110</v>
      </c>
      <c r="E36" s="17" t="s">
        <v>20</v>
      </c>
      <c r="F36" s="17" t="s">
        <v>111</v>
      </c>
      <c r="G36" s="17" t="s">
        <v>112</v>
      </c>
      <c r="H36" s="17" t="s">
        <v>93</v>
      </c>
      <c r="I36" s="85" t="s">
        <v>113</v>
      </c>
      <c r="J36" s="17" t="s">
        <v>114</v>
      </c>
      <c r="K36" s="61">
        <v>8.77</v>
      </c>
      <c r="L36" s="61">
        <v>5</v>
      </c>
      <c r="M36" s="61">
        <v>7.11</v>
      </c>
      <c r="N36" s="61">
        <v>5.5</v>
      </c>
      <c r="O36" s="61">
        <v>6.66</v>
      </c>
      <c r="P36" s="61">
        <v>11.25</v>
      </c>
      <c r="Q36" s="61">
        <v>8.08</v>
      </c>
      <c r="R36" s="61">
        <v>6.08</v>
      </c>
      <c r="S36" s="62">
        <v>7.4466666666666699</v>
      </c>
      <c r="T36" s="63">
        <v>0.351016799292661</v>
      </c>
      <c r="U36" s="115" t="s">
        <v>21</v>
      </c>
    </row>
    <row r="37" spans="1:21" ht="33.75" customHeight="1" x14ac:dyDescent="0.3">
      <c r="A37" s="120">
        <v>11</v>
      </c>
      <c r="B37" s="86" t="s">
        <v>104</v>
      </c>
      <c r="C37" s="86">
        <v>7855</v>
      </c>
      <c r="D37" s="29" t="s">
        <v>110</v>
      </c>
      <c r="E37" s="29" t="s">
        <v>20</v>
      </c>
      <c r="F37" s="29" t="s">
        <v>111</v>
      </c>
      <c r="G37" s="29" t="s">
        <v>115</v>
      </c>
      <c r="H37" s="29" t="s">
        <v>116</v>
      </c>
      <c r="I37" s="86" t="s">
        <v>113</v>
      </c>
      <c r="J37" s="29" t="s">
        <v>114</v>
      </c>
      <c r="K37" s="87">
        <v>6.13</v>
      </c>
      <c r="L37" s="87">
        <v>3</v>
      </c>
      <c r="M37" s="87">
        <v>13.5</v>
      </c>
      <c r="N37" s="87">
        <v>5.2</v>
      </c>
      <c r="O37" s="87">
        <v>4.58</v>
      </c>
      <c r="P37" s="87">
        <v>4.83</v>
      </c>
      <c r="Q37" s="87">
        <v>3.25</v>
      </c>
      <c r="R37" s="87">
        <v>5.16</v>
      </c>
      <c r="S37" s="88">
        <v>6.0866666666666696</v>
      </c>
      <c r="T37" s="89">
        <v>1.38445154419597E-2</v>
      </c>
      <c r="U37" s="121" t="s">
        <v>21</v>
      </c>
    </row>
    <row r="38" spans="1:21" ht="33.75" customHeight="1" x14ac:dyDescent="0.3">
      <c r="A38" s="122">
        <v>16</v>
      </c>
      <c r="B38" s="85" t="s">
        <v>104</v>
      </c>
      <c r="C38" s="85">
        <v>48956</v>
      </c>
      <c r="D38" s="17" t="s">
        <v>124</v>
      </c>
      <c r="E38" s="17" t="s">
        <v>22</v>
      </c>
      <c r="F38" s="17" t="s">
        <v>39</v>
      </c>
      <c r="G38" s="17" t="s">
        <v>127</v>
      </c>
      <c r="H38" s="17" t="s">
        <v>80</v>
      </c>
      <c r="I38" s="85" t="s">
        <v>85</v>
      </c>
      <c r="J38" s="17" t="s">
        <v>126</v>
      </c>
      <c r="K38" s="61">
        <v>88.79</v>
      </c>
      <c r="L38" s="61">
        <v>90</v>
      </c>
      <c r="M38" s="61"/>
      <c r="N38" s="61">
        <v>86.16</v>
      </c>
      <c r="O38" s="61">
        <v>84.35</v>
      </c>
      <c r="P38" s="61"/>
      <c r="Q38" s="61"/>
      <c r="R38" s="61">
        <v>83.39</v>
      </c>
      <c r="S38" s="62">
        <v>84.633333333333297</v>
      </c>
      <c r="T38" s="63">
        <v>-3.4352617079890102</v>
      </c>
      <c r="U38" s="115" t="s">
        <v>21</v>
      </c>
    </row>
    <row r="39" spans="1:21" ht="33.75" customHeight="1" x14ac:dyDescent="0.3">
      <c r="A39" s="120">
        <v>18</v>
      </c>
      <c r="B39" s="86" t="s">
        <v>76</v>
      </c>
      <c r="C39" s="86">
        <v>49269</v>
      </c>
      <c r="D39" s="29" t="s">
        <v>130</v>
      </c>
      <c r="E39" s="29" t="s">
        <v>22</v>
      </c>
      <c r="F39" s="29" t="s">
        <v>37</v>
      </c>
      <c r="G39" s="29" t="s">
        <v>131</v>
      </c>
      <c r="H39" s="29" t="s">
        <v>80</v>
      </c>
      <c r="I39" s="86" t="s">
        <v>85</v>
      </c>
      <c r="J39" s="29" t="s">
        <v>132</v>
      </c>
      <c r="K39" s="87">
        <v>84.93</v>
      </c>
      <c r="L39" s="87">
        <v>88</v>
      </c>
      <c r="M39" s="87">
        <v>85.3</v>
      </c>
      <c r="N39" s="87">
        <v>86.08</v>
      </c>
      <c r="O39" s="87">
        <v>84.1</v>
      </c>
      <c r="P39" s="87">
        <v>81.44</v>
      </c>
      <c r="Q39" s="87">
        <v>84.68</v>
      </c>
      <c r="R39" s="87">
        <v>85.038333333333398</v>
      </c>
      <c r="S39" s="88">
        <v>84.439722222222201</v>
      </c>
      <c r="T39" s="89">
        <v>-0.15969960188201299</v>
      </c>
      <c r="U39" s="121" t="s">
        <v>21</v>
      </c>
    </row>
    <row r="40" spans="1:21" ht="27" customHeight="1" x14ac:dyDescent="0.3">
      <c r="A40" s="122">
        <v>20</v>
      </c>
      <c r="B40" s="85" t="s">
        <v>76</v>
      </c>
      <c r="C40" s="85">
        <v>49269</v>
      </c>
      <c r="D40" s="17" t="s">
        <v>130</v>
      </c>
      <c r="E40" s="17" t="s">
        <v>22</v>
      </c>
      <c r="F40" s="17" t="s">
        <v>37</v>
      </c>
      <c r="G40" s="17" t="s">
        <v>134</v>
      </c>
      <c r="H40" s="17" t="s">
        <v>80</v>
      </c>
      <c r="I40" s="85" t="s">
        <v>85</v>
      </c>
      <c r="J40" s="17" t="s">
        <v>132</v>
      </c>
      <c r="K40" s="93">
        <v>87.83</v>
      </c>
      <c r="L40" s="93">
        <v>90</v>
      </c>
      <c r="M40" s="93">
        <v>87.7</v>
      </c>
      <c r="N40" s="93">
        <v>87.18</v>
      </c>
      <c r="O40" s="93">
        <v>84.24</v>
      </c>
      <c r="P40" s="93">
        <v>83.85</v>
      </c>
      <c r="Q40" s="93">
        <v>86.15</v>
      </c>
      <c r="R40" s="93">
        <v>74.461666666666702</v>
      </c>
      <c r="S40" s="94">
        <v>83.930277777777803</v>
      </c>
      <c r="T40" s="63">
        <v>-1.7971070148489401</v>
      </c>
      <c r="U40" s="115" t="s">
        <v>21</v>
      </c>
    </row>
    <row r="41" spans="1:21" ht="30" customHeight="1" x14ac:dyDescent="0.3">
      <c r="A41" s="120">
        <v>22</v>
      </c>
      <c r="B41" s="86" t="s">
        <v>76</v>
      </c>
      <c r="C41" s="86">
        <v>0</v>
      </c>
      <c r="D41" s="29" t="s">
        <v>138</v>
      </c>
      <c r="E41" s="29" t="s">
        <v>20</v>
      </c>
      <c r="F41" s="29" t="s">
        <v>33</v>
      </c>
      <c r="G41" s="29" t="s">
        <v>139</v>
      </c>
      <c r="H41" s="29" t="s">
        <v>116</v>
      </c>
      <c r="I41" s="86" t="s">
        <v>140</v>
      </c>
      <c r="J41" s="29" t="s">
        <v>90</v>
      </c>
      <c r="K41" s="91">
        <v>628</v>
      </c>
      <c r="L41" s="91">
        <v>550</v>
      </c>
      <c r="M41" s="91">
        <v>627</v>
      </c>
      <c r="N41" s="91">
        <v>629</v>
      </c>
      <c r="O41" s="91">
        <v>615</v>
      </c>
      <c r="P41" s="91">
        <v>597</v>
      </c>
      <c r="Q41" s="91">
        <v>610</v>
      </c>
      <c r="R41" s="91">
        <v>592</v>
      </c>
      <c r="S41" s="92">
        <v>611.66666666666697</v>
      </c>
      <c r="T41" s="89">
        <v>0.20940170940170999</v>
      </c>
      <c r="U41" s="121" t="s">
        <v>21</v>
      </c>
    </row>
    <row r="42" spans="1:21" ht="30" customHeight="1" x14ac:dyDescent="0.3">
      <c r="A42" s="122">
        <v>23</v>
      </c>
      <c r="B42" s="85" t="s">
        <v>76</v>
      </c>
      <c r="C42" s="85"/>
      <c r="D42" s="17" t="s">
        <v>138</v>
      </c>
      <c r="E42" s="17" t="s">
        <v>20</v>
      </c>
      <c r="F42" s="17" t="s">
        <v>33</v>
      </c>
      <c r="G42" s="17" t="s">
        <v>141</v>
      </c>
      <c r="H42" s="17" t="s">
        <v>116</v>
      </c>
      <c r="I42" s="85" t="s">
        <v>140</v>
      </c>
      <c r="J42" s="17" t="s">
        <v>90</v>
      </c>
      <c r="K42" s="93">
        <v>491</v>
      </c>
      <c r="L42" s="93">
        <v>450</v>
      </c>
      <c r="M42" s="93">
        <v>529</v>
      </c>
      <c r="N42" s="93">
        <v>546</v>
      </c>
      <c r="O42" s="93">
        <v>499</v>
      </c>
      <c r="P42" s="93">
        <v>477</v>
      </c>
      <c r="Q42" s="93">
        <v>493</v>
      </c>
      <c r="R42" s="93">
        <v>451</v>
      </c>
      <c r="S42" s="94">
        <v>499.16666666666703</v>
      </c>
      <c r="T42" s="63">
        <v>-0.19918699186991901</v>
      </c>
      <c r="U42" s="115" t="s">
        <v>21</v>
      </c>
    </row>
    <row r="43" spans="1:21" ht="30" customHeight="1" x14ac:dyDescent="0.3">
      <c r="A43" s="120">
        <v>24</v>
      </c>
      <c r="B43" s="86" t="s">
        <v>76</v>
      </c>
      <c r="C43" s="86"/>
      <c r="D43" s="29" t="s">
        <v>138</v>
      </c>
      <c r="E43" s="29" t="s">
        <v>20</v>
      </c>
      <c r="F43" s="29" t="s">
        <v>33</v>
      </c>
      <c r="G43" s="29" t="s">
        <v>142</v>
      </c>
      <c r="H43" s="29" t="s">
        <v>116</v>
      </c>
      <c r="I43" s="86" t="s">
        <v>140</v>
      </c>
      <c r="J43" s="29" t="s">
        <v>90</v>
      </c>
      <c r="K43" s="87">
        <v>118</v>
      </c>
      <c r="L43" s="87">
        <v>100</v>
      </c>
      <c r="M43" s="87">
        <v>98.75</v>
      </c>
      <c r="N43" s="87">
        <v>82.58</v>
      </c>
      <c r="O43" s="87">
        <v>120.73</v>
      </c>
      <c r="P43" s="87">
        <v>119.86</v>
      </c>
      <c r="Q43" s="87">
        <v>118</v>
      </c>
      <c r="R43" s="87">
        <v>141</v>
      </c>
      <c r="S43" s="88">
        <v>113.48666666666701</v>
      </c>
      <c r="T43" s="89">
        <v>0.25074074074073999</v>
      </c>
      <c r="U43" s="121" t="s">
        <v>21</v>
      </c>
    </row>
    <row r="44" spans="1:21" ht="30" customHeight="1" x14ac:dyDescent="0.3">
      <c r="A44" s="122">
        <v>29</v>
      </c>
      <c r="B44" s="85" t="s">
        <v>104</v>
      </c>
      <c r="C44" s="85">
        <v>5152</v>
      </c>
      <c r="D44" s="17" t="s">
        <v>150</v>
      </c>
      <c r="E44" s="17" t="s">
        <v>20</v>
      </c>
      <c r="F44" s="17" t="s">
        <v>151</v>
      </c>
      <c r="G44" s="17" t="s">
        <v>152</v>
      </c>
      <c r="H44" s="17" t="s">
        <v>116</v>
      </c>
      <c r="I44" s="85" t="s">
        <v>153</v>
      </c>
      <c r="J44" s="17" t="s">
        <v>154</v>
      </c>
      <c r="K44" s="93">
        <v>52.988999999999997</v>
      </c>
      <c r="L44" s="93">
        <v>45</v>
      </c>
      <c r="M44" s="61">
        <v>49.72</v>
      </c>
      <c r="N44" s="61">
        <v>61.39</v>
      </c>
      <c r="O44" s="61">
        <v>56.93</v>
      </c>
      <c r="P44" s="61">
        <v>49.46</v>
      </c>
      <c r="Q44" s="61">
        <v>53.22</v>
      </c>
      <c r="R44" s="61">
        <v>57.65</v>
      </c>
      <c r="S44" s="62">
        <v>54.728333333333303</v>
      </c>
      <c r="T44" s="63">
        <v>-0.21771602620269601</v>
      </c>
      <c r="U44" s="115" t="s">
        <v>21</v>
      </c>
    </row>
    <row r="45" spans="1:21" ht="30" customHeight="1" x14ac:dyDescent="0.3">
      <c r="A45" s="120">
        <v>31</v>
      </c>
      <c r="B45" s="86" t="s">
        <v>76</v>
      </c>
      <c r="C45" s="86"/>
      <c r="D45" s="29" t="s">
        <v>160</v>
      </c>
      <c r="E45" s="29" t="s">
        <v>22</v>
      </c>
      <c r="F45" s="29" t="s">
        <v>161</v>
      </c>
      <c r="G45" s="29" t="s">
        <v>162</v>
      </c>
      <c r="H45" s="29" t="s">
        <v>80</v>
      </c>
      <c r="I45" s="86" t="s">
        <v>163</v>
      </c>
      <c r="J45" s="29" t="s">
        <v>164</v>
      </c>
      <c r="K45" s="91">
        <v>3.83</v>
      </c>
      <c r="L45" s="91">
        <v>4</v>
      </c>
      <c r="M45" s="87">
        <v>3.96</v>
      </c>
      <c r="N45" s="87">
        <v>3.96</v>
      </c>
      <c r="O45" s="87">
        <v>3.74</v>
      </c>
      <c r="P45" s="87">
        <v>3.76</v>
      </c>
      <c r="Q45" s="87">
        <v>3.83</v>
      </c>
      <c r="R45" s="87">
        <v>3.8</v>
      </c>
      <c r="S45" s="88">
        <v>3.8416666666666699</v>
      </c>
      <c r="T45" s="89">
        <v>6.8627450980392496E-2</v>
      </c>
      <c r="U45" s="121" t="s">
        <v>21</v>
      </c>
    </row>
    <row r="46" spans="1:21" ht="36.75" customHeight="1" x14ac:dyDescent="0.3">
      <c r="A46" s="122">
        <v>32</v>
      </c>
      <c r="B46" s="85" t="s">
        <v>76</v>
      </c>
      <c r="C46" s="85"/>
      <c r="D46" s="17" t="s">
        <v>160</v>
      </c>
      <c r="E46" s="17" t="s">
        <v>22</v>
      </c>
      <c r="F46" s="17" t="s">
        <v>161</v>
      </c>
      <c r="G46" s="17" t="s">
        <v>165</v>
      </c>
      <c r="H46" s="17" t="s">
        <v>80</v>
      </c>
      <c r="I46" s="85" t="s">
        <v>163</v>
      </c>
      <c r="J46" s="17" t="s">
        <v>164</v>
      </c>
      <c r="K46" s="61">
        <v>3.9</v>
      </c>
      <c r="L46" s="61">
        <v>4</v>
      </c>
      <c r="M46" s="61">
        <v>3.9</v>
      </c>
      <c r="N46" s="61">
        <v>3.97</v>
      </c>
      <c r="O46" s="61">
        <v>3.88</v>
      </c>
      <c r="P46" s="61">
        <v>3.84</v>
      </c>
      <c r="Q46" s="61">
        <v>3.88</v>
      </c>
      <c r="R46" s="61">
        <v>3.89</v>
      </c>
      <c r="S46" s="62">
        <v>3.89333333333333</v>
      </c>
      <c r="T46" s="63">
        <v>-6.6666666666668206E-2</v>
      </c>
      <c r="U46" s="115" t="s">
        <v>21</v>
      </c>
    </row>
    <row r="47" spans="1:21" x14ac:dyDescent="0.3">
      <c r="A47" s="120">
        <v>33</v>
      </c>
      <c r="B47" s="86" t="s">
        <v>76</v>
      </c>
      <c r="C47" s="86"/>
      <c r="D47" s="29" t="s">
        <v>160</v>
      </c>
      <c r="E47" s="29" t="s">
        <v>22</v>
      </c>
      <c r="F47" s="29" t="s">
        <v>161</v>
      </c>
      <c r="G47" s="29" t="s">
        <v>166</v>
      </c>
      <c r="H47" s="29" t="s">
        <v>80</v>
      </c>
      <c r="I47" s="86" t="s">
        <v>163</v>
      </c>
      <c r="J47" s="29" t="s">
        <v>164</v>
      </c>
      <c r="K47" s="91">
        <v>3.76</v>
      </c>
      <c r="L47" s="91">
        <v>4</v>
      </c>
      <c r="M47" s="91">
        <v>3.38</v>
      </c>
      <c r="N47" s="91">
        <v>3.86</v>
      </c>
      <c r="O47" s="91">
        <v>3.68</v>
      </c>
      <c r="P47" s="91">
        <v>2.95</v>
      </c>
      <c r="Q47" s="91">
        <v>4.09</v>
      </c>
      <c r="R47" s="91">
        <v>3.97</v>
      </c>
      <c r="S47" s="92">
        <v>3.6549999999999998</v>
      </c>
      <c r="T47" s="89">
        <v>-0.4375</v>
      </c>
      <c r="U47" s="121" t="s">
        <v>21</v>
      </c>
    </row>
    <row r="48" spans="1:21" ht="32.25" customHeight="1" x14ac:dyDescent="0.3">
      <c r="A48" s="122">
        <v>34</v>
      </c>
      <c r="B48" s="85" t="s">
        <v>76</v>
      </c>
      <c r="C48" s="85"/>
      <c r="D48" s="17" t="s">
        <v>160</v>
      </c>
      <c r="E48" s="17" t="s">
        <v>22</v>
      </c>
      <c r="F48" s="17" t="s">
        <v>161</v>
      </c>
      <c r="G48" s="17" t="s">
        <v>167</v>
      </c>
      <c r="H48" s="17" t="s">
        <v>80</v>
      </c>
      <c r="I48" s="85" t="s">
        <v>163</v>
      </c>
      <c r="J48" s="17" t="s">
        <v>164</v>
      </c>
      <c r="K48" s="93">
        <v>3.63</v>
      </c>
      <c r="L48" s="93">
        <v>4</v>
      </c>
      <c r="M48" s="93">
        <v>3.65</v>
      </c>
      <c r="N48" s="93">
        <v>3.53</v>
      </c>
      <c r="O48" s="93">
        <v>3.89</v>
      </c>
      <c r="P48" s="93">
        <v>2.8</v>
      </c>
      <c r="Q48" s="93">
        <v>4.04</v>
      </c>
      <c r="R48" s="93">
        <v>4.07</v>
      </c>
      <c r="S48" s="94">
        <v>3.66333333333333</v>
      </c>
      <c r="T48" s="63">
        <v>9.0090090090091002E-2</v>
      </c>
      <c r="U48" s="115" t="s">
        <v>21</v>
      </c>
    </row>
    <row r="49" spans="1:21" ht="32.25" customHeight="1" x14ac:dyDescent="0.3">
      <c r="A49" s="120">
        <v>35</v>
      </c>
      <c r="B49" s="86" t="s">
        <v>104</v>
      </c>
      <c r="C49" s="86">
        <v>48820</v>
      </c>
      <c r="D49" s="29" t="s">
        <v>168</v>
      </c>
      <c r="E49" s="29" t="s">
        <v>22</v>
      </c>
      <c r="F49" s="29" t="s">
        <v>44</v>
      </c>
      <c r="G49" s="95" t="s">
        <v>169</v>
      </c>
      <c r="H49" s="29" t="s">
        <v>80</v>
      </c>
      <c r="I49" s="86" t="s">
        <v>170</v>
      </c>
      <c r="J49" s="29" t="s">
        <v>171</v>
      </c>
      <c r="K49" s="87">
        <v>22645</v>
      </c>
      <c r="L49" s="87">
        <v>24520</v>
      </c>
      <c r="M49" s="87">
        <v>22848</v>
      </c>
      <c r="N49" s="87">
        <v>11779</v>
      </c>
      <c r="O49" s="87">
        <v>20425</v>
      </c>
      <c r="P49" s="87">
        <v>21966</v>
      </c>
      <c r="Q49" s="87">
        <v>19276</v>
      </c>
      <c r="R49" s="87">
        <v>18872</v>
      </c>
      <c r="S49" s="88">
        <v>19194.333333333299</v>
      </c>
      <c r="T49" s="89">
        <v>-1.84035555555556</v>
      </c>
      <c r="U49" s="121" t="s">
        <v>21</v>
      </c>
    </row>
    <row r="50" spans="1:21" ht="27" customHeight="1" x14ac:dyDescent="0.3">
      <c r="A50" s="122">
        <v>37</v>
      </c>
      <c r="B50" s="85" t="s">
        <v>104</v>
      </c>
      <c r="C50" s="85">
        <v>0</v>
      </c>
      <c r="D50" s="17" t="s">
        <v>175</v>
      </c>
      <c r="E50" s="17" t="s">
        <v>22</v>
      </c>
      <c r="F50" s="17" t="s">
        <v>44</v>
      </c>
      <c r="G50" s="17" t="s">
        <v>176</v>
      </c>
      <c r="H50" s="17" t="s">
        <v>80</v>
      </c>
      <c r="I50" s="85" t="s">
        <v>177</v>
      </c>
      <c r="J50" s="17" t="s">
        <v>178</v>
      </c>
      <c r="K50" s="61">
        <v>31048</v>
      </c>
      <c r="L50" s="61">
        <v>54720</v>
      </c>
      <c r="M50" s="61">
        <v>26349</v>
      </c>
      <c r="N50" s="61">
        <v>38713</v>
      </c>
      <c r="O50" s="61">
        <v>51859</v>
      </c>
      <c r="P50" s="61">
        <v>37485</v>
      </c>
      <c r="Q50" s="61">
        <v>40115</v>
      </c>
      <c r="R50" s="61">
        <v>36362</v>
      </c>
      <c r="S50" s="62">
        <v>38480.5</v>
      </c>
      <c r="T50" s="63">
        <v>0.31397854004731302</v>
      </c>
      <c r="U50" s="115" t="s">
        <v>21</v>
      </c>
    </row>
    <row r="51" spans="1:21" ht="27" customHeight="1" x14ac:dyDescent="0.3">
      <c r="A51" s="120">
        <v>38</v>
      </c>
      <c r="B51" s="86" t="s">
        <v>76</v>
      </c>
      <c r="C51" s="86">
        <v>45143</v>
      </c>
      <c r="D51" s="29" t="s">
        <v>179</v>
      </c>
      <c r="E51" s="29" t="s">
        <v>22</v>
      </c>
      <c r="F51" s="29" t="s">
        <v>46</v>
      </c>
      <c r="G51" s="29" t="s">
        <v>180</v>
      </c>
      <c r="H51" s="29" t="s">
        <v>80</v>
      </c>
      <c r="I51" s="86" t="s">
        <v>85</v>
      </c>
      <c r="J51" s="29" t="s">
        <v>181</v>
      </c>
      <c r="K51" s="87">
        <v>72.489999999999995</v>
      </c>
      <c r="L51" s="87">
        <v>80</v>
      </c>
      <c r="M51" s="87">
        <v>71.28</v>
      </c>
      <c r="N51" s="87">
        <v>74.849999999999994</v>
      </c>
      <c r="O51" s="87">
        <v>74.86</v>
      </c>
      <c r="P51" s="87">
        <v>78.849999999999994</v>
      </c>
      <c r="Q51" s="87">
        <v>73.819999999999993</v>
      </c>
      <c r="R51" s="87">
        <v>70.31</v>
      </c>
      <c r="S51" s="88">
        <v>73.995000000000005</v>
      </c>
      <c r="T51" s="89">
        <v>0.20039946737683201</v>
      </c>
      <c r="U51" s="121" t="s">
        <v>21</v>
      </c>
    </row>
    <row r="52" spans="1:21" ht="27" customHeight="1" x14ac:dyDescent="0.3">
      <c r="A52" s="122">
        <v>54</v>
      </c>
      <c r="B52" s="85" t="s">
        <v>76</v>
      </c>
      <c r="C52" s="85">
        <v>4781</v>
      </c>
      <c r="D52" s="17" t="s">
        <v>233</v>
      </c>
      <c r="E52" s="17" t="s">
        <v>20</v>
      </c>
      <c r="F52" s="17" t="s">
        <v>234</v>
      </c>
      <c r="G52" s="17" t="s">
        <v>235</v>
      </c>
      <c r="H52" s="17" t="s">
        <v>116</v>
      </c>
      <c r="I52" s="96">
        <v>0</v>
      </c>
      <c r="J52" s="17" t="s">
        <v>236</v>
      </c>
      <c r="K52" s="61">
        <v>0.1018</v>
      </c>
      <c r="L52" s="61">
        <v>0.04</v>
      </c>
      <c r="M52" s="61">
        <v>0.99</v>
      </c>
      <c r="N52" s="61">
        <v>0.106</v>
      </c>
      <c r="O52" s="61">
        <v>0.105</v>
      </c>
      <c r="P52" s="61">
        <v>0.106</v>
      </c>
      <c r="Q52" s="61">
        <v>0.10199999999999999</v>
      </c>
      <c r="R52" s="61">
        <v>9.7000000000000003E-2</v>
      </c>
      <c r="S52" s="62">
        <v>0.251</v>
      </c>
      <c r="T52" s="63">
        <v>-2.4142394822006499</v>
      </c>
      <c r="U52" s="115" t="s">
        <v>21</v>
      </c>
    </row>
    <row r="53" spans="1:21" ht="27" customHeight="1" x14ac:dyDescent="0.3">
      <c r="A53" s="120">
        <v>55</v>
      </c>
      <c r="B53" s="86" t="s">
        <v>76</v>
      </c>
      <c r="C53" s="86">
        <v>80428</v>
      </c>
      <c r="D53" s="29" t="s">
        <v>237</v>
      </c>
      <c r="E53" s="29" t="s">
        <v>26</v>
      </c>
      <c r="F53" s="29" t="s">
        <v>238</v>
      </c>
      <c r="G53" s="29" t="s">
        <v>239</v>
      </c>
      <c r="H53" s="29" t="s">
        <v>80</v>
      </c>
      <c r="I53" s="86" t="s">
        <v>85</v>
      </c>
      <c r="J53" s="29" t="s">
        <v>240</v>
      </c>
      <c r="K53" s="87">
        <v>43</v>
      </c>
      <c r="L53" s="87">
        <v>56</v>
      </c>
      <c r="M53" s="87">
        <v>41.7229240008283</v>
      </c>
      <c r="N53" s="87">
        <v>49.8788531850089</v>
      </c>
      <c r="O53" s="87">
        <v>36.903716710564801</v>
      </c>
      <c r="P53" s="87"/>
      <c r="Q53" s="87"/>
      <c r="R53" s="87"/>
      <c r="S53" s="88">
        <v>42.835164632134003</v>
      </c>
      <c r="T53" s="89">
        <v>-1.2679643682000301E-2</v>
      </c>
      <c r="U53" s="121" t="s">
        <v>21</v>
      </c>
    </row>
    <row r="54" spans="1:21" ht="27" customHeight="1" x14ac:dyDescent="0.3">
      <c r="A54" s="122">
        <v>56</v>
      </c>
      <c r="B54" s="85" t="s">
        <v>104</v>
      </c>
      <c r="C54" s="85"/>
      <c r="D54" s="17" t="s">
        <v>241</v>
      </c>
      <c r="E54" s="17" t="s">
        <v>20</v>
      </c>
      <c r="F54" s="17" t="s">
        <v>33</v>
      </c>
      <c r="G54" s="17" t="s">
        <v>242</v>
      </c>
      <c r="H54" s="17" t="s">
        <v>80</v>
      </c>
      <c r="I54" s="85" t="s">
        <v>243</v>
      </c>
      <c r="J54" s="17" t="s">
        <v>191</v>
      </c>
      <c r="K54" s="61">
        <v>2.3199999999999998</v>
      </c>
      <c r="L54" s="61">
        <v>3.6</v>
      </c>
      <c r="M54" s="97">
        <v>2.71</v>
      </c>
      <c r="N54" s="97">
        <v>2.72</v>
      </c>
      <c r="O54" s="97">
        <v>2.48</v>
      </c>
      <c r="P54" s="97">
        <v>2.54</v>
      </c>
      <c r="Q54" s="61">
        <v>2.08</v>
      </c>
      <c r="R54" s="61">
        <v>2.0699999999999998</v>
      </c>
      <c r="S54" s="62">
        <v>2.43333333333333</v>
      </c>
      <c r="T54" s="63">
        <v>8.8541666666666602E-2</v>
      </c>
      <c r="U54" s="115" t="s">
        <v>21</v>
      </c>
    </row>
    <row r="55" spans="1:21" ht="29.25" customHeight="1" x14ac:dyDescent="0.3">
      <c r="A55" s="120">
        <v>67</v>
      </c>
      <c r="B55" s="86" t="s">
        <v>104</v>
      </c>
      <c r="C55" s="86">
        <v>49844</v>
      </c>
      <c r="D55" s="29" t="s">
        <v>277</v>
      </c>
      <c r="E55" s="29" t="s">
        <v>22</v>
      </c>
      <c r="F55" s="29" t="s">
        <v>278</v>
      </c>
      <c r="G55" s="29" t="s">
        <v>279</v>
      </c>
      <c r="H55" s="29" t="s">
        <v>116</v>
      </c>
      <c r="I55" s="86" t="s">
        <v>280</v>
      </c>
      <c r="J55" s="29" t="s">
        <v>191</v>
      </c>
      <c r="K55" s="87">
        <v>4.13</v>
      </c>
      <c r="L55" s="87">
        <v>4</v>
      </c>
      <c r="M55" s="87">
        <v>5.36</v>
      </c>
      <c r="N55" s="87">
        <v>4.54</v>
      </c>
      <c r="O55" s="87">
        <v>4.83</v>
      </c>
      <c r="P55" s="87">
        <v>4.82</v>
      </c>
      <c r="Q55" s="87">
        <v>4.72</v>
      </c>
      <c r="R55" s="87"/>
      <c r="S55" s="88">
        <v>4.8540000000000001</v>
      </c>
      <c r="T55" s="89">
        <v>-5.5692307692307796</v>
      </c>
      <c r="U55" s="121" t="s">
        <v>21</v>
      </c>
    </row>
    <row r="56" spans="1:21" ht="27" customHeight="1" x14ac:dyDescent="0.3">
      <c r="A56" s="122">
        <v>14</v>
      </c>
      <c r="B56" s="85" t="s">
        <v>104</v>
      </c>
      <c r="C56" s="85">
        <v>5503</v>
      </c>
      <c r="D56" s="17" t="s">
        <v>122</v>
      </c>
      <c r="E56" s="17" t="s">
        <v>20</v>
      </c>
      <c r="F56" s="17" t="s">
        <v>39</v>
      </c>
      <c r="G56" s="17" t="s">
        <v>123</v>
      </c>
      <c r="H56" s="17" t="s">
        <v>116</v>
      </c>
      <c r="I56" s="85"/>
      <c r="J56" s="17"/>
      <c r="K56" s="61"/>
      <c r="L56" s="61"/>
      <c r="M56" s="61"/>
      <c r="N56" s="61"/>
      <c r="O56" s="61"/>
      <c r="P56" s="61"/>
      <c r="Q56" s="61"/>
      <c r="R56" s="61"/>
      <c r="S56" s="62"/>
      <c r="T56" s="63"/>
      <c r="U56" s="115" t="s">
        <v>23</v>
      </c>
    </row>
    <row r="57" spans="1:21" ht="27" customHeight="1" x14ac:dyDescent="0.3">
      <c r="A57" s="120">
        <v>15</v>
      </c>
      <c r="B57" s="86" t="s">
        <v>104</v>
      </c>
      <c r="C57" s="86">
        <v>48956</v>
      </c>
      <c r="D57" s="29" t="s">
        <v>124</v>
      </c>
      <c r="E57" s="29" t="s">
        <v>22</v>
      </c>
      <c r="F57" s="29" t="s">
        <v>39</v>
      </c>
      <c r="G57" s="29" t="s">
        <v>125</v>
      </c>
      <c r="H57" s="29" t="s">
        <v>80</v>
      </c>
      <c r="I57" s="86" t="s">
        <v>85</v>
      </c>
      <c r="J57" s="29" t="s">
        <v>126</v>
      </c>
      <c r="K57" s="87"/>
      <c r="L57" s="87">
        <v>90</v>
      </c>
      <c r="M57" s="87"/>
      <c r="N57" s="87"/>
      <c r="O57" s="87"/>
      <c r="P57" s="87"/>
      <c r="Q57" s="87"/>
      <c r="R57" s="87"/>
      <c r="S57" s="88"/>
      <c r="T57" s="89"/>
      <c r="U57" s="121" t="s">
        <v>23</v>
      </c>
    </row>
    <row r="58" spans="1:21" ht="27" customHeight="1" x14ac:dyDescent="0.3">
      <c r="A58" s="122">
        <v>39</v>
      </c>
      <c r="B58" s="85" t="s">
        <v>104</v>
      </c>
      <c r="C58" s="85"/>
      <c r="D58" s="17" t="s">
        <v>182</v>
      </c>
      <c r="E58" s="17" t="s">
        <v>20</v>
      </c>
      <c r="F58" s="17" t="s">
        <v>183</v>
      </c>
      <c r="G58" s="17" t="s">
        <v>184</v>
      </c>
      <c r="H58" s="17" t="s">
        <v>80</v>
      </c>
      <c r="I58" s="85" t="s">
        <v>185</v>
      </c>
      <c r="J58" s="17" t="s">
        <v>186</v>
      </c>
      <c r="K58" s="61">
        <v>572</v>
      </c>
      <c r="L58" s="61">
        <v>800</v>
      </c>
      <c r="M58" s="61"/>
      <c r="N58" s="61"/>
      <c r="O58" s="61"/>
      <c r="P58" s="61"/>
      <c r="Q58" s="61"/>
      <c r="R58" s="61"/>
      <c r="S58" s="62"/>
      <c r="T58" s="63"/>
      <c r="U58" s="115" t="s">
        <v>23</v>
      </c>
    </row>
    <row r="59" spans="1:21" ht="27" customHeight="1" x14ac:dyDescent="0.3">
      <c r="A59" s="120">
        <v>40</v>
      </c>
      <c r="B59" s="86" t="s">
        <v>104</v>
      </c>
      <c r="C59" s="86"/>
      <c r="D59" s="29" t="s">
        <v>182</v>
      </c>
      <c r="E59" s="29" t="s">
        <v>20</v>
      </c>
      <c r="F59" s="29" t="s">
        <v>183</v>
      </c>
      <c r="G59" s="29" t="s">
        <v>187</v>
      </c>
      <c r="H59" s="29" t="s">
        <v>80</v>
      </c>
      <c r="I59" s="86" t="s">
        <v>185</v>
      </c>
      <c r="J59" s="29" t="s">
        <v>186</v>
      </c>
      <c r="K59" s="87">
        <v>520</v>
      </c>
      <c r="L59" s="87">
        <v>800</v>
      </c>
      <c r="M59" s="87"/>
      <c r="N59" s="87"/>
      <c r="O59" s="87"/>
      <c r="P59" s="87"/>
      <c r="Q59" s="87"/>
      <c r="R59" s="87"/>
      <c r="S59" s="88"/>
      <c r="T59" s="89"/>
      <c r="U59" s="121" t="s">
        <v>23</v>
      </c>
    </row>
    <row r="60" spans="1:21" ht="27" customHeight="1" x14ac:dyDescent="0.3">
      <c r="A60" s="122">
        <v>48</v>
      </c>
      <c r="B60" s="85" t="s">
        <v>104</v>
      </c>
      <c r="C60" s="85">
        <v>50360</v>
      </c>
      <c r="D60" s="17" t="s">
        <v>212</v>
      </c>
      <c r="E60" s="17" t="s">
        <v>22</v>
      </c>
      <c r="F60" s="17" t="s">
        <v>31</v>
      </c>
      <c r="G60" s="17" t="s">
        <v>213</v>
      </c>
      <c r="H60" s="17" t="s">
        <v>116</v>
      </c>
      <c r="I60" s="85" t="s">
        <v>85</v>
      </c>
      <c r="J60" s="17"/>
      <c r="K60" s="61"/>
      <c r="L60" s="61"/>
      <c r="M60" s="61"/>
      <c r="N60" s="61"/>
      <c r="O60" s="61"/>
      <c r="P60" s="61"/>
      <c r="Q60" s="61"/>
      <c r="R60" s="61"/>
      <c r="S60" s="62"/>
      <c r="T60" s="63"/>
      <c r="U60" s="115" t="s">
        <v>23</v>
      </c>
    </row>
    <row r="61" spans="1:21" ht="27" customHeight="1" x14ac:dyDescent="0.3">
      <c r="A61" s="120">
        <v>52</v>
      </c>
      <c r="B61" s="86" t="s">
        <v>104</v>
      </c>
      <c r="C61" s="86">
        <v>2954</v>
      </c>
      <c r="D61" s="29" t="s">
        <v>225</v>
      </c>
      <c r="E61" s="29" t="s">
        <v>20</v>
      </c>
      <c r="F61" s="29" t="s">
        <v>226</v>
      </c>
      <c r="G61" s="29" t="s">
        <v>227</v>
      </c>
      <c r="H61" s="29" t="s">
        <v>116</v>
      </c>
      <c r="I61" s="86" t="s">
        <v>228</v>
      </c>
      <c r="J61" s="29"/>
      <c r="K61" s="87">
        <v>134.4</v>
      </c>
      <c r="L61" s="87">
        <v>125</v>
      </c>
      <c r="M61" s="87"/>
      <c r="N61" s="87"/>
      <c r="O61" s="87"/>
      <c r="P61" s="87"/>
      <c r="Q61" s="87"/>
      <c r="R61" s="87"/>
      <c r="S61" s="88"/>
      <c r="T61" s="89"/>
      <c r="U61" s="121" t="s">
        <v>23</v>
      </c>
    </row>
    <row r="62" spans="1:21" ht="41.25" customHeight="1" x14ac:dyDescent="0.3">
      <c r="A62" s="122">
        <v>53</v>
      </c>
      <c r="B62" s="85" t="s">
        <v>104</v>
      </c>
      <c r="C62" s="85">
        <v>5733</v>
      </c>
      <c r="D62" s="17" t="s">
        <v>229</v>
      </c>
      <c r="E62" s="17" t="s">
        <v>20</v>
      </c>
      <c r="F62" s="17" t="s">
        <v>230</v>
      </c>
      <c r="G62" s="17" t="s">
        <v>231</v>
      </c>
      <c r="H62" s="17" t="s">
        <v>80</v>
      </c>
      <c r="I62" s="85" t="s">
        <v>232</v>
      </c>
      <c r="J62" s="17"/>
      <c r="K62" s="61">
        <v>17.8</v>
      </c>
      <c r="L62" s="61">
        <v>20</v>
      </c>
      <c r="M62" s="61"/>
      <c r="N62" s="61"/>
      <c r="O62" s="61"/>
      <c r="P62" s="61"/>
      <c r="Q62" s="61"/>
      <c r="R62" s="61"/>
      <c r="S62" s="62"/>
      <c r="T62" s="63"/>
      <c r="U62" s="115" t="s">
        <v>23</v>
      </c>
    </row>
    <row r="63" spans="1:21" ht="27" customHeight="1" x14ac:dyDescent="0.3">
      <c r="A63" s="120">
        <v>57</v>
      </c>
      <c r="B63" s="86" t="s">
        <v>76</v>
      </c>
      <c r="C63" s="86">
        <v>334</v>
      </c>
      <c r="D63" s="29" t="s">
        <v>244</v>
      </c>
      <c r="E63" s="29" t="s">
        <v>20</v>
      </c>
      <c r="F63" s="29" t="s">
        <v>245</v>
      </c>
      <c r="G63" s="29" t="s">
        <v>246</v>
      </c>
      <c r="H63" s="29" t="s">
        <v>116</v>
      </c>
      <c r="I63" s="86" t="s">
        <v>247</v>
      </c>
      <c r="J63" s="29" t="s">
        <v>191</v>
      </c>
      <c r="K63" s="87">
        <v>28.6</v>
      </c>
      <c r="L63" s="87">
        <v>25</v>
      </c>
      <c r="M63" s="87"/>
      <c r="N63" s="87"/>
      <c r="O63" s="87"/>
      <c r="P63" s="87"/>
      <c r="Q63" s="87"/>
      <c r="R63" s="87"/>
      <c r="S63" s="88"/>
      <c r="T63" s="89"/>
      <c r="U63" s="121" t="s">
        <v>23</v>
      </c>
    </row>
    <row r="64" spans="1:21" ht="41.25" customHeight="1" x14ac:dyDescent="0.3">
      <c r="A64" s="122">
        <v>58</v>
      </c>
      <c r="B64" s="85" t="s">
        <v>104</v>
      </c>
      <c r="C64" s="85">
        <v>7747</v>
      </c>
      <c r="D64" s="17" t="s">
        <v>248</v>
      </c>
      <c r="E64" s="17" t="s">
        <v>20</v>
      </c>
      <c r="F64" s="17" t="s">
        <v>249</v>
      </c>
      <c r="G64" s="17" t="s">
        <v>250</v>
      </c>
      <c r="H64" s="17" t="s">
        <v>116</v>
      </c>
      <c r="I64" s="85" t="s">
        <v>251</v>
      </c>
      <c r="J64" s="17" t="s">
        <v>252</v>
      </c>
      <c r="K64" s="61">
        <v>27620</v>
      </c>
      <c r="L64" s="61">
        <v>5524</v>
      </c>
      <c r="M64" s="61"/>
      <c r="N64" s="61"/>
      <c r="O64" s="61"/>
      <c r="P64" s="61"/>
      <c r="Q64" s="61"/>
      <c r="R64" s="61"/>
      <c r="S64" s="62"/>
      <c r="T64" s="63"/>
      <c r="U64" s="115" t="s">
        <v>23</v>
      </c>
    </row>
    <row r="65" spans="1:21" ht="27" customHeight="1" x14ac:dyDescent="0.3">
      <c r="A65" s="120">
        <v>59</v>
      </c>
      <c r="B65" s="86" t="s">
        <v>104</v>
      </c>
      <c r="C65" s="86">
        <v>2712</v>
      </c>
      <c r="D65" s="29" t="s">
        <v>253</v>
      </c>
      <c r="E65" s="29" t="s">
        <v>20</v>
      </c>
      <c r="F65" s="29" t="s">
        <v>254</v>
      </c>
      <c r="G65" s="29" t="s">
        <v>255</v>
      </c>
      <c r="H65" s="29" t="s">
        <v>116</v>
      </c>
      <c r="I65" s="86" t="s">
        <v>256</v>
      </c>
      <c r="J65" s="29"/>
      <c r="K65" s="87">
        <v>6.3</v>
      </c>
      <c r="L65" s="87">
        <v>3.15</v>
      </c>
      <c r="M65" s="87"/>
      <c r="N65" s="87"/>
      <c r="O65" s="87"/>
      <c r="P65" s="87"/>
      <c r="Q65" s="87"/>
      <c r="R65" s="87"/>
      <c r="S65" s="88"/>
      <c r="T65" s="89"/>
      <c r="U65" s="121" t="s">
        <v>23</v>
      </c>
    </row>
    <row r="66" spans="1:21" ht="27" customHeight="1" x14ac:dyDescent="0.3">
      <c r="A66" s="122">
        <v>60</v>
      </c>
      <c r="B66" s="85" t="s">
        <v>76</v>
      </c>
      <c r="C66" s="85">
        <v>30103</v>
      </c>
      <c r="D66" s="17" t="s">
        <v>257</v>
      </c>
      <c r="E66" s="17" t="s">
        <v>25</v>
      </c>
      <c r="F66" s="17" t="s">
        <v>258</v>
      </c>
      <c r="G66" s="17" t="s">
        <v>259</v>
      </c>
      <c r="H66" s="17" t="s">
        <v>116</v>
      </c>
      <c r="I66" s="85">
        <v>0</v>
      </c>
      <c r="J66" s="17"/>
      <c r="K66" s="61"/>
      <c r="L66" s="61"/>
      <c r="M66" s="61"/>
      <c r="N66" s="61"/>
      <c r="O66" s="61"/>
      <c r="P66" s="61"/>
      <c r="Q66" s="61"/>
      <c r="R66" s="61"/>
      <c r="S66" s="62"/>
      <c r="T66" s="63"/>
      <c r="U66" s="115" t="s">
        <v>23</v>
      </c>
    </row>
    <row r="67" spans="1:21" ht="27" customHeight="1" x14ac:dyDescent="0.3">
      <c r="A67" s="120">
        <v>61</v>
      </c>
      <c r="B67" s="86" t="s">
        <v>76</v>
      </c>
      <c r="C67" s="86">
        <v>47015</v>
      </c>
      <c r="D67" s="29" t="s">
        <v>261</v>
      </c>
      <c r="E67" s="29" t="s">
        <v>22</v>
      </c>
      <c r="F67" s="29" t="s">
        <v>262</v>
      </c>
      <c r="G67" s="95" t="s">
        <v>263</v>
      </c>
      <c r="H67" s="17" t="s">
        <v>116</v>
      </c>
      <c r="I67" s="98">
        <v>0</v>
      </c>
      <c r="J67" s="95"/>
      <c r="K67" s="86"/>
      <c r="L67" s="87"/>
      <c r="M67" s="87"/>
      <c r="N67" s="87"/>
      <c r="O67" s="87"/>
      <c r="P67" s="87"/>
      <c r="Q67" s="87"/>
      <c r="R67" s="87"/>
      <c r="S67" s="88"/>
      <c r="T67" s="89"/>
      <c r="U67" s="121" t="s">
        <v>23</v>
      </c>
    </row>
    <row r="68" spans="1:21" ht="27" customHeight="1" x14ac:dyDescent="0.3">
      <c r="A68" s="122">
        <v>62</v>
      </c>
      <c r="B68" s="85" t="s">
        <v>76</v>
      </c>
      <c r="C68" s="85">
        <v>4924</v>
      </c>
      <c r="D68" s="17" t="s">
        <v>264</v>
      </c>
      <c r="E68" s="17" t="s">
        <v>20</v>
      </c>
      <c r="F68" s="17" t="s">
        <v>265</v>
      </c>
      <c r="G68" s="17" t="s">
        <v>266</v>
      </c>
      <c r="H68" s="17" t="s">
        <v>80</v>
      </c>
      <c r="I68" s="85" t="s">
        <v>85</v>
      </c>
      <c r="J68" s="17"/>
      <c r="K68" s="61"/>
      <c r="L68" s="61"/>
      <c r="M68" s="61"/>
      <c r="N68" s="61"/>
      <c r="O68" s="61"/>
      <c r="P68" s="61"/>
      <c r="Q68" s="61"/>
      <c r="R68" s="61"/>
      <c r="S68" s="62"/>
      <c r="T68" s="63"/>
      <c r="U68" s="115" t="s">
        <v>23</v>
      </c>
    </row>
    <row r="69" spans="1:21" ht="27" customHeight="1" x14ac:dyDescent="0.3">
      <c r="A69" s="120">
        <v>64</v>
      </c>
      <c r="B69" s="86" t="s">
        <v>104</v>
      </c>
      <c r="C69" s="86">
        <v>7780</v>
      </c>
      <c r="D69" s="29" t="s">
        <v>269</v>
      </c>
      <c r="E69" s="29" t="s">
        <v>20</v>
      </c>
      <c r="F69" s="29" t="s">
        <v>265</v>
      </c>
      <c r="G69" s="29" t="s">
        <v>270</v>
      </c>
      <c r="H69" s="29" t="s">
        <v>116</v>
      </c>
      <c r="I69" s="86" t="s">
        <v>271</v>
      </c>
      <c r="J69" s="29"/>
      <c r="K69" s="87"/>
      <c r="L69" s="87"/>
      <c r="M69" s="87"/>
      <c r="N69" s="87"/>
      <c r="O69" s="87"/>
      <c r="P69" s="87"/>
      <c r="Q69" s="87"/>
      <c r="R69" s="87"/>
      <c r="S69" s="88"/>
      <c r="T69" s="89"/>
      <c r="U69" s="121" t="s">
        <v>23</v>
      </c>
    </row>
    <row r="70" spans="1:21" ht="27.75" customHeight="1" x14ac:dyDescent="0.3">
      <c r="A70" s="122">
        <v>65</v>
      </c>
      <c r="B70" s="85" t="s">
        <v>76</v>
      </c>
      <c r="C70" s="85">
        <v>16027</v>
      </c>
      <c r="D70" s="17" t="s">
        <v>272</v>
      </c>
      <c r="E70" s="17" t="s">
        <v>25</v>
      </c>
      <c r="F70" s="17" t="s">
        <v>273</v>
      </c>
      <c r="G70" s="17" t="s">
        <v>274</v>
      </c>
      <c r="H70" s="17" t="s">
        <v>116</v>
      </c>
      <c r="I70" s="85"/>
      <c r="J70" s="17"/>
      <c r="K70" s="61"/>
      <c r="L70" s="61"/>
      <c r="M70" s="61"/>
      <c r="N70" s="61"/>
      <c r="O70" s="61"/>
      <c r="P70" s="61"/>
      <c r="Q70" s="61"/>
      <c r="R70" s="61"/>
      <c r="S70" s="62"/>
      <c r="T70" s="63"/>
      <c r="U70" s="115" t="s">
        <v>23</v>
      </c>
    </row>
    <row r="71" spans="1:21" ht="28.5" customHeight="1" x14ac:dyDescent="0.3">
      <c r="A71" s="120">
        <v>66</v>
      </c>
      <c r="B71" s="86" t="s">
        <v>104</v>
      </c>
      <c r="C71" s="86">
        <v>9517</v>
      </c>
      <c r="D71" s="29" t="s">
        <v>275</v>
      </c>
      <c r="E71" s="29" t="s">
        <v>22</v>
      </c>
      <c r="F71" s="29" t="s">
        <v>197</v>
      </c>
      <c r="G71" s="95" t="s">
        <v>276</v>
      </c>
      <c r="H71" s="29" t="s">
        <v>80</v>
      </c>
      <c r="I71" s="98"/>
      <c r="J71" s="29"/>
      <c r="K71" s="86"/>
      <c r="L71" s="87"/>
      <c r="M71" s="87"/>
      <c r="N71" s="87"/>
      <c r="O71" s="87"/>
      <c r="P71" s="87"/>
      <c r="Q71" s="87"/>
      <c r="R71" s="87"/>
      <c r="S71" s="88"/>
      <c r="T71" s="89"/>
      <c r="U71" s="121" t="s">
        <v>23</v>
      </c>
    </row>
    <row r="72" spans="1:21" ht="27.6" x14ac:dyDescent="0.3">
      <c r="A72" s="122">
        <v>68</v>
      </c>
      <c r="B72" s="85" t="s">
        <v>76</v>
      </c>
      <c r="C72" s="85">
        <v>6388</v>
      </c>
      <c r="D72" s="17" t="s">
        <v>281</v>
      </c>
      <c r="E72" s="17" t="s">
        <v>20</v>
      </c>
      <c r="F72" s="17" t="s">
        <v>31</v>
      </c>
      <c r="G72" s="17"/>
      <c r="H72" s="17"/>
      <c r="I72" s="85"/>
      <c r="J72" s="17"/>
      <c r="K72" s="61"/>
      <c r="L72" s="61"/>
      <c r="M72" s="61"/>
      <c r="N72" s="61"/>
      <c r="O72" s="61"/>
      <c r="P72" s="61"/>
      <c r="Q72" s="61"/>
      <c r="R72" s="61"/>
      <c r="S72" s="62"/>
      <c r="T72" s="63"/>
      <c r="U72" s="115" t="s">
        <v>23</v>
      </c>
    </row>
    <row r="73" spans="1:21" ht="27.6" x14ac:dyDescent="0.3">
      <c r="A73" s="120">
        <v>69</v>
      </c>
      <c r="B73" s="86" t="s">
        <v>76</v>
      </c>
      <c r="C73" s="86">
        <v>6389</v>
      </c>
      <c r="D73" s="29" t="s">
        <v>282</v>
      </c>
      <c r="E73" s="29" t="s">
        <v>20</v>
      </c>
      <c r="F73" s="29" t="s">
        <v>31</v>
      </c>
      <c r="G73" s="29"/>
      <c r="H73" s="29"/>
      <c r="I73" s="86"/>
      <c r="J73" s="29"/>
      <c r="K73" s="87"/>
      <c r="L73" s="87"/>
      <c r="M73" s="87"/>
      <c r="N73" s="87"/>
      <c r="O73" s="87"/>
      <c r="P73" s="87"/>
      <c r="Q73" s="87"/>
      <c r="R73" s="87"/>
      <c r="S73" s="88"/>
      <c r="T73" s="89"/>
      <c r="U73" s="121" t="s">
        <v>23</v>
      </c>
    </row>
    <row r="74" spans="1:21" ht="27" customHeight="1" x14ac:dyDescent="0.3">
      <c r="A74" s="122">
        <v>70</v>
      </c>
      <c r="B74" s="85" t="s">
        <v>104</v>
      </c>
      <c r="C74" s="85">
        <v>48624</v>
      </c>
      <c r="D74" s="17" t="s">
        <v>283</v>
      </c>
      <c r="E74" s="17" t="s">
        <v>22</v>
      </c>
      <c r="F74" s="17" t="s">
        <v>218</v>
      </c>
      <c r="G74" s="17" t="s">
        <v>284</v>
      </c>
      <c r="H74" s="17" t="s">
        <v>116</v>
      </c>
      <c r="I74" s="85" t="s">
        <v>251</v>
      </c>
      <c r="J74" s="17"/>
      <c r="K74" s="61"/>
      <c r="L74" s="61"/>
      <c r="M74" s="61"/>
      <c r="N74" s="61"/>
      <c r="O74" s="61"/>
      <c r="P74" s="61"/>
      <c r="Q74" s="61"/>
      <c r="R74" s="61"/>
      <c r="S74" s="62"/>
      <c r="T74" s="63"/>
      <c r="U74" s="115" t="s">
        <v>23</v>
      </c>
    </row>
    <row r="75" spans="1:21" ht="27" customHeight="1" x14ac:dyDescent="0.3">
      <c r="A75" s="120">
        <v>71</v>
      </c>
      <c r="B75" s="86" t="s">
        <v>76</v>
      </c>
      <c r="C75" s="86">
        <v>7799</v>
      </c>
      <c r="D75" s="29" t="s">
        <v>285</v>
      </c>
      <c r="E75" s="29" t="s">
        <v>26</v>
      </c>
      <c r="F75" s="29" t="s">
        <v>286</v>
      </c>
      <c r="G75" s="29"/>
      <c r="H75" s="29"/>
      <c r="I75" s="86"/>
      <c r="J75" s="29"/>
      <c r="K75" s="87"/>
      <c r="L75" s="87"/>
      <c r="M75" s="87"/>
      <c r="N75" s="87"/>
      <c r="O75" s="87"/>
      <c r="P75" s="87"/>
      <c r="Q75" s="87"/>
      <c r="R75" s="87"/>
      <c r="S75" s="88"/>
      <c r="T75" s="89"/>
      <c r="U75" s="121" t="s">
        <v>23</v>
      </c>
    </row>
    <row r="76" spans="1:21" ht="41.25" customHeight="1" x14ac:dyDescent="0.3">
      <c r="A76" s="122">
        <v>72</v>
      </c>
      <c r="B76" s="85" t="s">
        <v>76</v>
      </c>
      <c r="C76" s="85">
        <v>10223</v>
      </c>
      <c r="D76" s="17" t="s">
        <v>287</v>
      </c>
      <c r="E76" s="17" t="s">
        <v>24</v>
      </c>
      <c r="F76" s="17" t="s">
        <v>45</v>
      </c>
      <c r="G76" s="17" t="s">
        <v>288</v>
      </c>
      <c r="H76" s="17"/>
      <c r="I76" s="85" t="s">
        <v>251</v>
      </c>
      <c r="J76" s="17"/>
      <c r="K76" s="61"/>
      <c r="L76" s="61"/>
      <c r="M76" s="61"/>
      <c r="N76" s="61"/>
      <c r="O76" s="61"/>
      <c r="P76" s="61"/>
      <c r="Q76" s="61"/>
      <c r="R76" s="61"/>
      <c r="S76" s="62"/>
      <c r="T76" s="63"/>
      <c r="U76" s="115" t="s">
        <v>23</v>
      </c>
    </row>
    <row r="77" spans="1:21" ht="25.5" customHeight="1" x14ac:dyDescent="0.3">
      <c r="A77" s="120">
        <v>73</v>
      </c>
      <c r="B77" s="86" t="s">
        <v>104</v>
      </c>
      <c r="C77" s="86">
        <v>10860</v>
      </c>
      <c r="D77" s="29" t="s">
        <v>289</v>
      </c>
      <c r="E77" s="29" t="s">
        <v>24</v>
      </c>
      <c r="F77" s="29" t="s">
        <v>45</v>
      </c>
      <c r="G77" s="29" t="s">
        <v>290</v>
      </c>
      <c r="H77" s="29"/>
      <c r="I77" s="86" t="s">
        <v>291</v>
      </c>
      <c r="J77" s="29"/>
      <c r="K77" s="87"/>
      <c r="L77" s="87"/>
      <c r="M77" s="87"/>
      <c r="N77" s="87"/>
      <c r="O77" s="87"/>
      <c r="P77" s="87"/>
      <c r="Q77" s="87"/>
      <c r="R77" s="87"/>
      <c r="S77" s="88"/>
      <c r="T77" s="89"/>
      <c r="U77" s="121" t="s">
        <v>23</v>
      </c>
    </row>
    <row r="78" spans="1:21" ht="27" customHeight="1" x14ac:dyDescent="0.3">
      <c r="A78" s="122">
        <v>74</v>
      </c>
      <c r="B78" s="85" t="s">
        <v>104</v>
      </c>
      <c r="C78" s="85">
        <v>11039</v>
      </c>
      <c r="D78" s="17" t="s">
        <v>292</v>
      </c>
      <c r="E78" s="17" t="s">
        <v>24</v>
      </c>
      <c r="F78" s="17" t="s">
        <v>45</v>
      </c>
      <c r="G78" s="17" t="s">
        <v>293</v>
      </c>
      <c r="H78" s="17" t="s">
        <v>80</v>
      </c>
      <c r="I78" s="85" t="s">
        <v>251</v>
      </c>
      <c r="J78" s="17"/>
      <c r="K78" s="61"/>
      <c r="L78" s="61"/>
      <c r="M78" s="61"/>
      <c r="N78" s="61"/>
      <c r="O78" s="61"/>
      <c r="P78" s="61"/>
      <c r="Q78" s="61"/>
      <c r="R78" s="61"/>
      <c r="S78" s="62"/>
      <c r="T78" s="63"/>
      <c r="U78" s="115" t="s">
        <v>23</v>
      </c>
    </row>
    <row r="79" spans="1:21" ht="29.25" customHeight="1" x14ac:dyDescent="0.3">
      <c r="A79" s="120">
        <v>75</v>
      </c>
      <c r="B79" s="86" t="s">
        <v>76</v>
      </c>
      <c r="C79" s="86"/>
      <c r="D79" s="29" t="s">
        <v>294</v>
      </c>
      <c r="E79" s="29" t="s">
        <v>295</v>
      </c>
      <c r="F79" s="29" t="s">
        <v>35</v>
      </c>
      <c r="G79" s="29"/>
      <c r="H79" s="29" t="s">
        <v>116</v>
      </c>
      <c r="I79" s="86"/>
      <c r="J79" s="29"/>
      <c r="K79" s="87"/>
      <c r="L79" s="87"/>
      <c r="M79" s="87"/>
      <c r="N79" s="87"/>
      <c r="O79" s="87"/>
      <c r="P79" s="87"/>
      <c r="Q79" s="87"/>
      <c r="R79" s="87"/>
      <c r="S79" s="88"/>
      <c r="T79" s="89"/>
      <c r="U79" s="121" t="s">
        <v>23</v>
      </c>
    </row>
    <row r="80" spans="1:21" ht="27" customHeight="1" x14ac:dyDescent="0.3">
      <c r="A80" s="122">
        <v>76</v>
      </c>
      <c r="B80" s="85" t="s">
        <v>76</v>
      </c>
      <c r="C80" s="85">
        <v>10642</v>
      </c>
      <c r="D80" s="17" t="s">
        <v>296</v>
      </c>
      <c r="E80" s="17" t="s">
        <v>24</v>
      </c>
      <c r="F80" s="17" t="s">
        <v>35</v>
      </c>
      <c r="G80" s="17" t="s">
        <v>297</v>
      </c>
      <c r="H80" s="17" t="s">
        <v>80</v>
      </c>
      <c r="I80" s="85">
        <v>0</v>
      </c>
      <c r="J80" s="17"/>
      <c r="K80" s="61"/>
      <c r="L80" s="61"/>
      <c r="M80" s="61"/>
      <c r="N80" s="61"/>
      <c r="O80" s="61"/>
      <c r="P80" s="61"/>
      <c r="Q80" s="61"/>
      <c r="R80" s="61"/>
      <c r="S80" s="62"/>
      <c r="T80" s="63"/>
      <c r="U80" s="115" t="s">
        <v>23</v>
      </c>
    </row>
    <row r="81" spans="1:21" ht="27" customHeight="1" x14ac:dyDescent="0.3">
      <c r="A81" s="120">
        <v>77</v>
      </c>
      <c r="B81" s="86" t="s">
        <v>76</v>
      </c>
      <c r="C81" s="86">
        <v>10811</v>
      </c>
      <c r="D81" s="29" t="s">
        <v>298</v>
      </c>
      <c r="E81" s="29" t="s">
        <v>24</v>
      </c>
      <c r="F81" s="29" t="s">
        <v>31</v>
      </c>
      <c r="G81" s="29" t="s">
        <v>299</v>
      </c>
      <c r="H81" s="29" t="s">
        <v>80</v>
      </c>
      <c r="I81" s="86"/>
      <c r="J81" s="29"/>
      <c r="K81" s="87"/>
      <c r="L81" s="87"/>
      <c r="M81" s="87"/>
      <c r="N81" s="87"/>
      <c r="O81" s="87"/>
      <c r="P81" s="87"/>
      <c r="Q81" s="87"/>
      <c r="R81" s="87"/>
      <c r="S81" s="88"/>
      <c r="T81" s="89"/>
      <c r="U81" s="121" t="s">
        <v>23</v>
      </c>
    </row>
    <row r="82" spans="1:21" ht="26.25" customHeight="1" x14ac:dyDescent="0.3">
      <c r="A82" s="122">
        <v>78</v>
      </c>
      <c r="B82" s="85" t="s">
        <v>104</v>
      </c>
      <c r="C82" s="85">
        <v>3927</v>
      </c>
      <c r="D82" s="17" t="s">
        <v>300</v>
      </c>
      <c r="E82" s="17" t="s">
        <v>20</v>
      </c>
      <c r="F82" s="17" t="s">
        <v>301</v>
      </c>
      <c r="G82" s="17" t="s">
        <v>302</v>
      </c>
      <c r="H82" s="17" t="s">
        <v>116</v>
      </c>
      <c r="I82" s="85"/>
      <c r="J82" s="17"/>
      <c r="K82" s="61"/>
      <c r="L82" s="61"/>
      <c r="M82" s="61"/>
      <c r="N82" s="61"/>
      <c r="O82" s="61"/>
      <c r="P82" s="61"/>
      <c r="Q82" s="61"/>
      <c r="R82" s="61"/>
      <c r="S82" s="62"/>
      <c r="T82" s="63"/>
      <c r="U82" s="115" t="s">
        <v>23</v>
      </c>
    </row>
    <row r="83" spans="1:21" ht="27" customHeight="1" x14ac:dyDescent="0.3">
      <c r="A83" s="120">
        <v>79</v>
      </c>
      <c r="B83" s="86" t="s">
        <v>104</v>
      </c>
      <c r="C83" s="86">
        <v>3069</v>
      </c>
      <c r="D83" s="29" t="s">
        <v>303</v>
      </c>
      <c r="E83" s="29" t="s">
        <v>20</v>
      </c>
      <c r="F83" s="29" t="s">
        <v>304</v>
      </c>
      <c r="G83" s="29" t="s">
        <v>305</v>
      </c>
      <c r="H83" s="29" t="s">
        <v>116</v>
      </c>
      <c r="I83" s="86"/>
      <c r="J83" s="29"/>
      <c r="K83" s="87"/>
      <c r="L83" s="87"/>
      <c r="M83" s="87"/>
      <c r="N83" s="87"/>
      <c r="O83" s="87"/>
      <c r="P83" s="87"/>
      <c r="Q83" s="87"/>
      <c r="R83" s="87"/>
      <c r="S83" s="88"/>
      <c r="T83" s="89"/>
      <c r="U83" s="121" t="s">
        <v>23</v>
      </c>
    </row>
    <row r="84" spans="1:21" ht="26.25" customHeight="1" x14ac:dyDescent="0.3">
      <c r="A84" s="122">
        <v>80</v>
      </c>
      <c r="B84" s="85" t="s">
        <v>104</v>
      </c>
      <c r="C84" s="85"/>
      <c r="D84" s="17" t="s">
        <v>306</v>
      </c>
      <c r="E84" s="17" t="s">
        <v>26</v>
      </c>
      <c r="F84" s="17" t="s">
        <v>307</v>
      </c>
      <c r="G84" s="17" t="s">
        <v>308</v>
      </c>
      <c r="H84" s="17" t="s">
        <v>80</v>
      </c>
      <c r="I84" s="85"/>
      <c r="J84" s="17"/>
      <c r="K84" s="61"/>
      <c r="L84" s="61"/>
      <c r="M84" s="61"/>
      <c r="N84" s="61"/>
      <c r="O84" s="61"/>
      <c r="P84" s="61"/>
      <c r="Q84" s="61"/>
      <c r="R84" s="61"/>
      <c r="S84" s="62"/>
      <c r="T84" s="63"/>
      <c r="U84" s="115" t="s">
        <v>23</v>
      </c>
    </row>
    <row r="85" spans="1:21" ht="27.75" customHeight="1" x14ac:dyDescent="0.3">
      <c r="A85" s="123">
        <v>81</v>
      </c>
      <c r="B85" s="124" t="s">
        <v>104</v>
      </c>
      <c r="C85" s="124">
        <v>47561</v>
      </c>
      <c r="D85" s="125" t="s">
        <v>309</v>
      </c>
      <c r="E85" s="125" t="s">
        <v>22</v>
      </c>
      <c r="F85" s="125" t="s">
        <v>35</v>
      </c>
      <c r="G85" s="125" t="s">
        <v>310</v>
      </c>
      <c r="H85" s="125" t="s">
        <v>116</v>
      </c>
      <c r="I85" s="124"/>
      <c r="J85" s="125"/>
      <c r="K85" s="126"/>
      <c r="L85" s="126"/>
      <c r="M85" s="126"/>
      <c r="N85" s="126"/>
      <c r="O85" s="126"/>
      <c r="P85" s="126"/>
      <c r="Q85" s="126"/>
      <c r="R85" s="126"/>
      <c r="S85" s="127"/>
      <c r="T85" s="128"/>
      <c r="U85" s="129" t="s">
        <v>23</v>
      </c>
    </row>
    <row r="87" spans="1:21" x14ac:dyDescent="0.3">
      <c r="A87" s="99"/>
      <c r="B87" s="100"/>
      <c r="C87" s="101"/>
      <c r="D87" s="102"/>
    </row>
    <row r="88" spans="1:21" ht="18" customHeight="1" x14ac:dyDescent="0.3">
      <c r="A88" s="377"/>
      <c r="B88" s="377"/>
      <c r="C88" s="377"/>
      <c r="D88" s="377"/>
      <c r="E88" s="377"/>
      <c r="F88" s="377"/>
      <c r="G88" s="377"/>
      <c r="H88" s="377"/>
      <c r="I88" s="377"/>
      <c r="J88" s="377"/>
      <c r="K88" s="377"/>
      <c r="L88" s="377"/>
      <c r="M88" s="377"/>
      <c r="N88" s="377"/>
      <c r="O88" s="377"/>
      <c r="P88" s="377"/>
      <c r="Q88" s="377"/>
      <c r="R88" s="377"/>
      <c r="S88" s="377"/>
      <c r="T88" s="377"/>
      <c r="U88" s="377"/>
    </row>
  </sheetData>
  <mergeCells count="8">
    <mergeCell ref="A88:U88"/>
    <mergeCell ref="A1:U1"/>
    <mergeCell ref="A2:U2"/>
    <mergeCell ref="A4:G4"/>
    <mergeCell ref="H4:J4"/>
    <mergeCell ref="K4:L4"/>
    <mergeCell ref="M4:R4"/>
    <mergeCell ref="S4:U4"/>
  </mergeCells>
  <conditionalFormatting sqref="M6:R85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6:T85">
    <cfRule type="dataBar" priority="5">
      <dataBar>
        <cfvo type="num" val="0"/>
        <cfvo type="num" val="1"/>
        <color rgb="FF4472C4"/>
      </dataBar>
      <extLst>
        <ext xmlns:x14="http://schemas.microsoft.com/office/spreadsheetml/2009/9/main" uri="{B025F937-C7B1-47D3-B67F-A62EFF666E3E}">
          <x14:id>{BFB42B67-5524-4CCC-8C96-576460C09469}</x14:id>
        </ext>
      </extLst>
    </cfRule>
  </conditionalFormatting>
  <conditionalFormatting sqref="U6:U85">
    <cfRule type="cellIs" dxfId="2" priority="2" operator="equal">
      <formula>"Achieved"</formula>
    </cfRule>
    <cfRule type="cellIs" dxfId="1" priority="3" operator="equal">
      <formula>"On Track"</formula>
    </cfRule>
    <cfRule type="cellIs" dxfId="0" priority="4" operator="equal">
      <formula>"Needs Attention"</formula>
    </cfRule>
  </conditionalFormatting>
  <printOptions horizontalCentered="1"/>
  <pageMargins left="0.196527777777778" right="0.196527777777778" top="0.196527777777778" bottom="0.196527777777778" header="0.511811023622047" footer="0.511811023622047"/>
  <pageSetup paperSize="8" fitToHeight="3" orientation="landscape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FB42B67-5524-4CCC-8C96-576460C09469}">
            <x14:dataBar axisPosition="none">
              <x14:cfvo type="num">
                <xm:f>0</xm:f>
              </x14:cfvo>
              <x14:cfvo type="num">
                <xm:f>1</xm:f>
              </x14:cfvo>
              <x14:negativeFillColor rgb="FF4472C4"/>
            </x14:dataBar>
          </x14:cfRule>
          <xm:sqref>T6:T85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3</vt:i4>
      </vt:variant>
    </vt:vector>
  </HeadingPairs>
  <TitlesOfParts>
    <vt:vector size="15" baseType="lpstr">
      <vt:lpstr>Dashboard</vt:lpstr>
      <vt:lpstr>Project Tracking</vt:lpstr>
      <vt:lpstr>Sheet2</vt:lpstr>
      <vt:lpstr>Maintenance</vt:lpstr>
      <vt:lpstr>DCP-Conpilation </vt:lpstr>
      <vt:lpstr>Sheet3</vt:lpstr>
      <vt:lpstr>DCP-Collection</vt:lpstr>
      <vt:lpstr>Quality-DCP</vt:lpstr>
      <vt:lpstr>DFSS</vt:lpstr>
      <vt:lpstr>MGPP</vt:lpstr>
      <vt:lpstr>MGAP</vt:lpstr>
      <vt:lpstr>Sheet1</vt:lpstr>
      <vt:lpstr>'Project Tracking'!Print_Area</vt:lpstr>
      <vt:lpstr>'Project Tracking'!Print_Titles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Sayan Kundu</cp:lastModifiedBy>
  <cp:revision>1</cp:revision>
  <cp:lastPrinted>2026-09-02T10:19:12Z</cp:lastPrinted>
  <dcterms:created xsi:type="dcterms:W3CDTF">2026-07-18T04:42:03Z</dcterms:created>
  <dcterms:modified xsi:type="dcterms:W3CDTF">2026-10-02T07:28:01Z</dcterms:modified>
  <dc:language>en-US</dc:language>
</cp:coreProperties>
</file>